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sts &amp; Capex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Investment Analysis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Sources &amp; Use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&quot;₹&quot;#,##0;(&quot;₹&quot;#,##0);&quot;-&quot;"/>
    <numFmt numFmtId="167" formatCode="#,##0.0;(#,##0.0);&quot;-&quot;"/>
    <numFmt numFmtId="168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555555"/>
      <sz val="9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4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6" fontId="7" fillId="4" borderId="1" pivotButton="0" quotePrefix="0" xfId="0"/>
    <xf numFmtId="166" fontId="7" fillId="0" borderId="1" pivotButton="0" quotePrefix="0" xfId="0"/>
    <xf numFmtId="167" fontId="7" fillId="0" borderId="1" pivotButton="0" quotePrefix="0" xfId="0"/>
    <xf numFmtId="167" fontId="7" fillId="4" borderId="1" pivotButton="0" quotePrefix="0" xfId="0"/>
    <xf numFmtId="164" fontId="8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64" fontId="5" fillId="0" borderId="1" pivotButton="0" quotePrefix="0" xfId="0"/>
    <xf numFmtId="167" fontId="5" fillId="0" borderId="1" pivotButton="0" quotePrefix="0" xfId="0"/>
    <xf numFmtId="167" fontId="4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167" fontId="9" fillId="0" borderId="1" pivotButton="0" quotePrefix="0" xfId="0"/>
    <xf numFmtId="49" fontId="5" fillId="0" borderId="1" pivotButton="0" quotePrefix="0" xfId="0"/>
    <xf numFmtId="168" fontId="5" fillId="0" borderId="1" pivotButton="0" quotePrefix="0" xfId="0"/>
    <xf numFmtId="167" fontId="4" fillId="4" borderId="0" pivotButton="0" quotePrefix="0" xfId="0"/>
    <xf numFmtId="165" fontId="4" fillId="4" borderId="0" pivotButton="0" quotePrefix="0" xfId="0"/>
    <xf numFmtId="49" fontId="4" fillId="4" borderId="0" pivotButton="0" quotePrefix="0" xfId="0"/>
    <xf numFmtId="166" fontId="4" fillId="0" borderId="1" pivotButton="0" quotePrefix="0" xfId="0"/>
    <xf numFmtId="0" fontId="10" fillId="2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7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SkyPulse Drone Medical Logistics — Key Assumptions</t>
        </is>
      </c>
    </row>
    <row r="2">
      <c r="A2" s="2" t="inlineStr">
        <is>
          <t>Blue = input (edit these) · Yellow = key lever · All money in ₹ lakh unless stated · Launch: Karnataka</t>
        </is>
      </c>
    </row>
    <row r="4">
      <c r="A4" s="3" t="inlineStr">
        <is>
          <t>Parameter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5" t="inlineStr">
        <is>
          <t>Operations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7" t="inlineStr">
        <is>
          <t>Drone hubs operational</t>
        </is>
      </c>
      <c r="B6" s="8" t="inlineStr">
        <is>
          <t>nos</t>
        </is>
      </c>
      <c r="C6" s="9" t="n">
        <v>2</v>
      </c>
      <c r="D6" s="9" t="n">
        <v>4</v>
      </c>
      <c r="E6" s="9" t="n">
        <v>7</v>
      </c>
      <c r="F6" s="9" t="n">
        <v>10</v>
      </c>
      <c r="G6" s="9" t="n">
        <v>14</v>
      </c>
      <c r="H6" s="2" t="inlineStr">
        <is>
          <t>Y1: Chikkaballapur &amp; Kolar district hospitals; expand to 14 Karnataka districts by Y5</t>
        </is>
      </c>
    </row>
    <row r="7">
      <c r="A7" s="7" t="inlineStr">
        <is>
          <t>Drones per hub</t>
        </is>
      </c>
      <c r="B7" s="8" t="inlineStr">
        <is>
          <t>nos</t>
        </is>
      </c>
      <c r="C7" s="10" t="n">
        <v>6</v>
      </c>
      <c r="D7" s="10" t="n">
        <v>6</v>
      </c>
      <c r="E7" s="10" t="n">
        <v>6</v>
      </c>
      <c r="F7" s="10" t="n">
        <v>6</v>
      </c>
      <c r="G7" s="10" t="n">
        <v>6</v>
      </c>
      <c r="H7" s="2" t="inlineStr">
        <is>
          <t>4 in rotation + 2 standby/charging per hub</t>
        </is>
      </c>
    </row>
    <row r="8">
      <c r="A8" s="7" t="inlineStr">
        <is>
          <t>Deliveries per drone per day</t>
        </is>
      </c>
      <c r="B8" s="8" t="inlineStr">
        <is>
          <t>nos</t>
        </is>
      </c>
      <c r="C8" s="9" t="n">
        <v>5</v>
      </c>
      <c r="D8" s="9" t="n">
        <v>7</v>
      </c>
      <c r="E8" s="9" t="n">
        <v>8</v>
      </c>
      <c r="F8" s="9" t="n">
        <v>9</v>
      </c>
      <c r="G8" s="9" t="n">
        <v>10</v>
      </c>
      <c r="H8" s="2" t="inlineStr">
        <is>
          <t>Ramp-up as hospitals onboard; ~45 min round trip, daylight VLOS/approved corridors</t>
        </is>
      </c>
    </row>
    <row r="9">
      <c r="A9" s="7" t="inlineStr">
        <is>
          <t>Operating days per year</t>
        </is>
      </c>
      <c r="B9" s="8" t="inlineStr">
        <is>
          <t>days</t>
        </is>
      </c>
      <c r="C9" s="10" t="n">
        <v>330</v>
      </c>
      <c r="D9" s="10" t="n">
        <v>330</v>
      </c>
      <c r="E9" s="10" t="n">
        <v>330</v>
      </c>
      <c r="F9" s="10" t="n">
        <v>330</v>
      </c>
      <c r="G9" s="10" t="n">
        <v>330</v>
      </c>
      <c r="H9" s="2" t="inlineStr">
        <is>
          <t>Allows ~35 days lost to monsoon/weather &amp; maintenance</t>
        </is>
      </c>
    </row>
    <row r="10">
      <c r="A10" s="7" t="inlineStr">
        <is>
          <t>Emergency share of deliveries</t>
        </is>
      </c>
      <c r="B10" s="8" t="inlineStr">
        <is>
          <t>%</t>
        </is>
      </c>
      <c r="C10" s="11" t="n">
        <v>0.35</v>
      </c>
      <c r="D10" s="11" t="n">
        <v>0.33</v>
      </c>
      <c r="E10" s="11" t="n">
        <v>0.3</v>
      </c>
      <c r="F10" s="11" t="n">
        <v>0.3</v>
      </c>
      <c r="G10" s="11" t="n">
        <v>0.3</v>
      </c>
      <c r="H10" s="2" t="inlineStr">
        <is>
          <t>Rwanda (Zipline): ~40% emergency, 60% resupply — Nisingizwe et al., Lancet Glob Health 2022</t>
        </is>
      </c>
    </row>
    <row r="11">
      <c r="A11" s="5" t="inlineStr">
        <is>
          <t>Pricing &amp; contracts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Emergency delivery fee (blood, anti-venom, drugs)</t>
        </is>
      </c>
      <c r="B12" s="8" t="inlineStr">
        <is>
          <t>₹/delivery</t>
        </is>
      </c>
      <c r="C12" s="12" t="n">
        <v>1400</v>
      </c>
      <c r="D12" s="12" t="n">
        <v>1400</v>
      </c>
      <c r="E12" s="12" t="n">
        <v>1450</v>
      </c>
      <c r="F12" s="12" t="n">
        <v>1500</v>
      </c>
      <c r="G12" s="12" t="n">
        <v>1550</v>
      </c>
      <c r="H12" s="2" t="inlineStr">
        <is>
          <t>Below drone cost of ₹3,743/round trip in NE India study (Gupta et al., JFMPC 2025) due to multi-drop routing</t>
        </is>
      </c>
    </row>
    <row r="13">
      <c r="A13" s="7" t="inlineStr">
        <is>
          <t>Scheduled delivery fee (samples, resupply)</t>
        </is>
      </c>
      <c r="B13" s="8" t="inlineStr">
        <is>
          <t>₹/delivery</t>
        </is>
      </c>
      <c r="C13" s="12" t="n">
        <v>500</v>
      </c>
      <c r="D13" s="12" t="n">
        <v>500</v>
      </c>
      <c r="E13" s="12" t="n">
        <v>525</v>
      </c>
      <c r="F13" s="12" t="n">
        <v>550</v>
      </c>
      <c r="G13" s="12" t="n">
        <v>575</v>
      </c>
      <c r="H13" s="2" t="inlineStr">
        <is>
          <t>Benchmarked to ₹150–300 commercial drone parcels + cold-chain premium</t>
        </is>
      </c>
    </row>
    <row r="14">
      <c r="A14" s="7" t="inlineStr">
        <is>
          <t>Partner hospitals on subscription</t>
        </is>
      </c>
      <c r="B14" s="8" t="inlineStr">
        <is>
          <t>nos</t>
        </is>
      </c>
      <c r="C14" s="10" t="n">
        <v>8</v>
      </c>
      <c r="D14" s="10" t="n">
        <v>20</v>
      </c>
      <c r="E14" s="10" t="n">
        <v>40</v>
      </c>
      <c r="F14" s="10" t="n">
        <v>65</v>
      </c>
      <c r="G14" s="10" t="n">
        <v>95</v>
      </c>
      <c r="H14" s="2" t="inlineStr">
        <is>
          <t>Private hospitals/diagnostic chains (cf. Narayana Health–Airbound pilot, 2025)</t>
        </is>
      </c>
    </row>
    <row r="15">
      <c r="A15" s="7" t="inlineStr">
        <is>
          <t>Subscription fee (priority SLA + dashboard)</t>
        </is>
      </c>
      <c r="B15" s="8" t="inlineStr">
        <is>
          <t>₹/month</t>
        </is>
      </c>
      <c r="C15" s="13" t="n">
        <v>25000</v>
      </c>
      <c r="D15" s="13" t="n">
        <v>25000</v>
      </c>
      <c r="E15" s="13" t="n">
        <v>25000</v>
      </c>
      <c r="F15" s="13" t="n">
        <v>25000</v>
      </c>
      <c r="G15" s="13" t="n">
        <v>25000</v>
      </c>
      <c r="H15" s="2" t="inlineStr">
        <is>
          <t>Guaranteed &lt;30 min dispatch SLA</t>
        </is>
      </c>
    </row>
    <row r="16">
      <c r="A16" s="7" t="inlineStr">
        <is>
          <t>Govt. district contracts (NHM / State Health Dept.)</t>
        </is>
      </c>
      <c r="B16" s="8" t="inlineStr">
        <is>
          <t>nos</t>
        </is>
      </c>
      <c r="C16" s="10" t="n">
        <v>1</v>
      </c>
      <c r="D16" s="10" t="n">
        <v>2</v>
      </c>
      <c r="E16" s="10" t="n">
        <v>4</v>
      </c>
      <c r="F16" s="10" t="n">
        <v>6</v>
      </c>
      <c r="G16" s="10" t="n">
        <v>8</v>
      </c>
      <c r="H16" s="2" t="inlineStr">
        <is>
          <t>Annual service contract per district for PHC resupply</t>
        </is>
      </c>
    </row>
    <row r="17">
      <c r="A17" s="7" t="inlineStr">
        <is>
          <t>Value per district contract</t>
        </is>
      </c>
      <c r="B17" s="8" t="inlineStr">
        <is>
          <t>₹ lakh/yr</t>
        </is>
      </c>
      <c r="C17" s="14" t="n">
        <v>36</v>
      </c>
      <c r="D17" s="14" t="n">
        <v>36</v>
      </c>
      <c r="E17" s="14" t="n">
        <v>36</v>
      </c>
      <c r="F17" s="14" t="n">
        <v>36</v>
      </c>
      <c r="G17" s="14" t="n">
        <v>36</v>
      </c>
      <c r="H17" s="2" t="inlineStr">
        <is>
          <t>₹3 lakh per month fixed retainer</t>
        </is>
      </c>
    </row>
    <row r="18">
      <c r="A18" s="5" t="inlineStr">
        <is>
          <t>Variable cost per delivery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7" t="inlineStr">
        <is>
          <t>Energy / charging</t>
        </is>
      </c>
      <c r="B19" s="8" t="inlineStr">
        <is>
          <t>₹</t>
        </is>
      </c>
      <c r="C19" s="13" t="n">
        <v>12</v>
      </c>
      <c r="D19" s="13" t="n">
        <v>12</v>
      </c>
      <c r="E19" s="13" t="n">
        <v>12</v>
      </c>
      <c r="F19" s="13" t="n">
        <v>12</v>
      </c>
      <c r="G19" s="13" t="n">
        <v>12</v>
      </c>
      <c r="H19" s="2" t="inlineStr">
        <is>
          <t>~1.2 kWh per sortie at ₹10/kWh incl. losses</t>
        </is>
      </c>
    </row>
    <row r="20">
      <c r="A20" s="7" t="inlineStr">
        <is>
          <t>Battery wear (amortised)</t>
        </is>
      </c>
      <c r="B20" s="8" t="inlineStr">
        <is>
          <t>₹</t>
        </is>
      </c>
      <c r="C20" s="13" t="n">
        <v>55</v>
      </c>
      <c r="D20" s="13" t="n">
        <v>55</v>
      </c>
      <c r="E20" s="13" t="n">
        <v>55</v>
      </c>
      <c r="F20" s="13" t="n">
        <v>55</v>
      </c>
      <c r="G20" s="13" t="n">
        <v>55</v>
      </c>
      <c r="H20" s="2" t="inlineStr">
        <is>
          <t>Pack ₹55k / ~1,000 cycles</t>
        </is>
      </c>
    </row>
    <row r="21">
      <c r="A21" s="7" t="inlineStr">
        <is>
          <t>Cold-chain packaging &amp; consumables</t>
        </is>
      </c>
      <c r="B21" s="8" t="inlineStr">
        <is>
          <t>₹</t>
        </is>
      </c>
      <c r="C21" s="13" t="n">
        <v>70</v>
      </c>
      <c r="D21" s="13" t="n">
        <v>70</v>
      </c>
      <c r="E21" s="13" t="n">
        <v>70</v>
      </c>
      <c r="F21" s="13" t="n">
        <v>70</v>
      </c>
      <c r="G21" s="13" t="n">
        <v>70</v>
      </c>
      <c r="H21" s="2" t="inlineStr">
        <is>
          <t>Insulated box, gel packs, tamper seal</t>
        </is>
      </c>
    </row>
    <row r="22">
      <c r="A22" s="7" t="inlineStr">
        <is>
          <t>Maintenance &amp; spares</t>
        </is>
      </c>
      <c r="B22" s="8" t="inlineStr">
        <is>
          <t>₹</t>
        </is>
      </c>
      <c r="C22" s="13" t="n">
        <v>85</v>
      </c>
      <c r="D22" s="13" t="n">
        <v>85</v>
      </c>
      <c r="E22" s="13" t="n">
        <v>85</v>
      </c>
      <c r="F22" s="13" t="n">
        <v>85</v>
      </c>
      <c r="G22" s="13" t="n">
        <v>85</v>
      </c>
      <c r="H22" s="2" t="inlineStr">
        <is>
          <t>Propellers, motors, periodic overhaul</t>
        </is>
      </c>
    </row>
    <row r="23">
      <c r="A23" s="7" t="inlineStr">
        <is>
          <t>Telecom, payments &amp; per-flight software</t>
        </is>
      </c>
      <c r="B23" s="8" t="inlineStr">
        <is>
          <t>₹</t>
        </is>
      </c>
      <c r="C23" s="13" t="n">
        <v>18</v>
      </c>
      <c r="D23" s="13" t="n">
        <v>18</v>
      </c>
      <c r="E23" s="13" t="n">
        <v>18</v>
      </c>
      <c r="F23" s="13" t="n">
        <v>18</v>
      </c>
      <c r="G23" s="13" t="n">
        <v>18</v>
      </c>
      <c r="H23" s="2" t="inlineStr">
        <is>
          <t>4G telemetry, UTM, gateway charges</t>
        </is>
      </c>
    </row>
    <row r="24">
      <c r="A24" s="5" t="inlineStr">
        <is>
          <t>Fixed operating costs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7" t="inlineStr">
        <is>
          <t>Remote pilots per hub</t>
        </is>
      </c>
      <c r="B25" s="8" t="inlineStr">
        <is>
          <t>nos</t>
        </is>
      </c>
      <c r="C25" s="10" t="n">
        <v>3</v>
      </c>
      <c r="D25" s="10" t="n">
        <v>3</v>
      </c>
      <c r="E25" s="10" t="n">
        <v>3</v>
      </c>
      <c r="F25" s="10" t="n">
        <v>3</v>
      </c>
      <c r="G25" s="10" t="n">
        <v>3</v>
      </c>
      <c r="H25" s="2" t="inlineStr">
        <is>
          <t>DGCA Remote Pilot Certificate holders; 2 shifts + relief</t>
        </is>
      </c>
    </row>
    <row r="26">
      <c r="A26" s="7" t="inlineStr">
        <is>
          <t>Remote pilot salary</t>
        </is>
      </c>
      <c r="B26" s="8" t="inlineStr">
        <is>
          <t>₹ lakh/yr</t>
        </is>
      </c>
      <c r="C26" s="14" t="n">
        <v>5.4</v>
      </c>
      <c r="D26" s="14" t="n">
        <v>5.4</v>
      </c>
      <c r="E26" s="14" t="n">
        <v>5.4</v>
      </c>
      <c r="F26" s="14" t="n">
        <v>5.4</v>
      </c>
      <c r="G26" s="14" t="n">
        <v>5.4</v>
      </c>
      <c r="H26" s="2" t="inlineStr">
        <is>
          <t>₹45,000/month CTC</t>
        </is>
      </c>
    </row>
    <row r="27">
      <c r="A27" s="7" t="inlineStr">
        <is>
          <t>Drone technicians per hub</t>
        </is>
      </c>
      <c r="B27" s="8" t="inlineStr">
        <is>
          <t>nos</t>
        </is>
      </c>
      <c r="C27" s="10" t="n">
        <v>2</v>
      </c>
      <c r="D27" s="10" t="n">
        <v>2</v>
      </c>
      <c r="E27" s="10" t="n">
        <v>2</v>
      </c>
      <c r="F27" s="10" t="n">
        <v>2</v>
      </c>
      <c r="G27" s="10" t="n">
        <v>2</v>
      </c>
    </row>
    <row r="28">
      <c r="A28" s="7" t="inlineStr">
        <is>
          <t>Technician salary</t>
        </is>
      </c>
      <c r="B28" s="8" t="inlineStr">
        <is>
          <t>₹ lakh/yr</t>
        </is>
      </c>
      <c r="C28" s="14" t="n">
        <v>4.2</v>
      </c>
      <c r="D28" s="14" t="n">
        <v>4.2</v>
      </c>
      <c r="E28" s="14" t="n">
        <v>4.2</v>
      </c>
      <c r="F28" s="14" t="n">
        <v>4.2</v>
      </c>
      <c r="G28" s="14" t="n">
        <v>4.2</v>
      </c>
      <c r="H28" s="2" t="inlineStr">
        <is>
          <t>₹35,000/month CTC</t>
        </is>
      </c>
    </row>
    <row r="29">
      <c r="A29" s="7" t="inlineStr">
        <is>
          <t>Hub managers per hub</t>
        </is>
      </c>
      <c r="B29" s="8" t="inlineStr">
        <is>
          <t>nos</t>
        </is>
      </c>
      <c r="C29" s="10" t="n">
        <v>1</v>
      </c>
      <c r="D29" s="10" t="n">
        <v>1</v>
      </c>
      <c r="E29" s="10" t="n">
        <v>1</v>
      </c>
      <c r="F29" s="10" t="n">
        <v>1</v>
      </c>
      <c r="G29" s="10" t="n">
        <v>1</v>
      </c>
    </row>
    <row r="30">
      <c r="A30" s="7" t="inlineStr">
        <is>
          <t>Hub manager salary</t>
        </is>
      </c>
      <c r="B30" s="8" t="inlineStr">
        <is>
          <t>₹ lakh/yr</t>
        </is>
      </c>
      <c r="C30" s="14" t="n">
        <v>8.4</v>
      </c>
      <c r="D30" s="14" t="n">
        <v>8.4</v>
      </c>
      <c r="E30" s="14" t="n">
        <v>8.4</v>
      </c>
      <c r="F30" s="14" t="n">
        <v>8.4</v>
      </c>
      <c r="G30" s="14" t="n">
        <v>8.4</v>
      </c>
      <c r="H30" s="2" t="inlineStr">
        <is>
          <t>₹70,000/month CTC</t>
        </is>
      </c>
    </row>
    <row r="31">
      <c r="A31" s="7" t="inlineStr">
        <is>
          <t>Hub rent &amp; utilities</t>
        </is>
      </c>
      <c r="B31" s="8" t="inlineStr">
        <is>
          <t>₹ lakh/hub/yr</t>
        </is>
      </c>
      <c r="C31" s="14" t="n">
        <v>6</v>
      </c>
      <c r="D31" s="14" t="n">
        <v>6</v>
      </c>
      <c r="E31" s="14" t="n">
        <v>6</v>
      </c>
      <c r="F31" s="14" t="n">
        <v>6</v>
      </c>
      <c r="G31" s="14" t="n">
        <v>6</v>
      </c>
      <c r="H31" s="2" t="inlineStr">
        <is>
          <t>Rooftop/ground pad leased at district hospital</t>
        </is>
      </c>
    </row>
    <row r="32">
      <c r="A32" s="7" t="inlineStr">
        <is>
          <t>Drone hull &amp; third-party insurance</t>
        </is>
      </c>
      <c r="B32" s="8" t="inlineStr">
        <is>
          <t>₹ lakh/drone/yr</t>
        </is>
      </c>
      <c r="C32" s="14" t="n">
        <v>0.9</v>
      </c>
      <c r="D32" s="14" t="n">
        <v>0.9</v>
      </c>
      <c r="E32" s="14" t="n">
        <v>0.9</v>
      </c>
      <c r="F32" s="14" t="n">
        <v>0.9</v>
      </c>
      <c r="G32" s="14" t="n">
        <v>0.9</v>
      </c>
      <c r="H32" s="2" t="inlineStr">
        <is>
          <t>Third-party insurance mandatory under Drone Rules 2021</t>
        </is>
      </c>
    </row>
    <row r="33">
      <c r="A33" s="7" t="inlineStr">
        <is>
          <t>Corporate team (CEO, CTO, ops, sales, finance)</t>
        </is>
      </c>
      <c r="B33" s="8" t="inlineStr">
        <is>
          <t>₹ lakh/yr</t>
        </is>
      </c>
      <c r="C33" s="14" t="n">
        <v>90</v>
      </c>
      <c r="D33" s="14" t="n">
        <v>120</v>
      </c>
      <c r="E33" s="14" t="n">
        <v>155</v>
      </c>
      <c r="F33" s="14" t="n">
        <v>190</v>
      </c>
      <c r="G33" s="14" t="n">
        <v>230</v>
      </c>
      <c r="H33" s="2" t="inlineStr">
        <is>
          <t>See Organisational Plan</t>
        </is>
      </c>
    </row>
    <row r="34">
      <c r="A34" s="7" t="inlineStr">
        <is>
          <t>Marketing &amp; business development</t>
        </is>
      </c>
      <c r="B34" s="8" t="inlineStr">
        <is>
          <t>% of revenue</t>
        </is>
      </c>
      <c r="C34" s="11" t="n">
        <v>0.08</v>
      </c>
      <c r="D34" s="11" t="n">
        <v>0.07000000000000001</v>
      </c>
      <c r="E34" s="11" t="n">
        <v>0.06</v>
      </c>
      <c r="F34" s="11" t="n">
        <v>0.05</v>
      </c>
      <c r="G34" s="11" t="n">
        <v>0.05</v>
      </c>
      <c r="H34" s="2" t="inlineStr">
        <is>
          <t>Hospital demos, CME events, govt. tenders</t>
        </is>
      </c>
    </row>
    <row r="35">
      <c r="A35" s="7" t="inlineStr">
        <is>
          <t>Regulatory, certification &amp; compliance</t>
        </is>
      </c>
      <c r="B35" s="8" t="inlineStr">
        <is>
          <t>₹ lakh/yr</t>
        </is>
      </c>
      <c r="C35" s="14" t="n">
        <v>15</v>
      </c>
      <c r="D35" s="14" t="n">
        <v>15</v>
      </c>
      <c r="E35" s="14" t="n">
        <v>18</v>
      </c>
      <c r="F35" s="14" t="n">
        <v>20</v>
      </c>
      <c r="G35" s="14" t="n">
        <v>22</v>
      </c>
      <c r="H35" s="2" t="inlineStr">
        <is>
          <t>UIN, type certificate, BVLOS approvals, audits</t>
        </is>
      </c>
    </row>
    <row r="36">
      <c r="A36" s="7" t="inlineStr">
        <is>
          <t>Cloud, UTM &amp; app platform</t>
        </is>
      </c>
      <c r="B36" s="8" t="inlineStr">
        <is>
          <t>₹ lakh/yr</t>
        </is>
      </c>
      <c r="C36" s="14" t="n">
        <v>12</v>
      </c>
      <c r="D36" s="14" t="n">
        <v>18</v>
      </c>
      <c r="E36" s="14" t="n">
        <v>25</v>
      </c>
      <c r="F36" s="14" t="n">
        <v>32</v>
      </c>
      <c r="G36" s="14" t="n">
        <v>40</v>
      </c>
      <c r="H36" s="2" t="inlineStr">
        <is>
          <t>Hosting, maps, SMS, security</t>
        </is>
      </c>
    </row>
    <row r="37">
      <c r="A37" s="5" t="inlineStr">
        <is>
          <t>Capital expenditure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s="7" t="inlineStr">
        <is>
          <t>Drone unit cost (5 kg VTOL, cold-chain pod)</t>
        </is>
      </c>
      <c r="B38" s="8" t="inlineStr">
        <is>
          <t>₹ lakh</t>
        </is>
      </c>
      <c r="C38" s="15" t="n">
        <v>14</v>
      </c>
      <c r="D38" s="15" t="n">
        <v>14</v>
      </c>
      <c r="E38" s="15" t="n">
        <v>14</v>
      </c>
      <c r="F38" s="15" t="n">
        <v>14</v>
      </c>
      <c r="G38" s="15" t="n">
        <v>14</v>
      </c>
      <c r="H38" s="2" t="inlineStr">
        <is>
          <t>Indian listings ₹3.6–18 lakh; Wingcopter-class ~US$20k; NE study ₹40 lakh incl. insurance</t>
        </is>
      </c>
    </row>
    <row r="39">
      <c r="A39" s="7" t="inlineStr">
        <is>
          <t>Hub setup (pad, chargers, cold storage, GCS)</t>
        </is>
      </c>
      <c r="B39" s="8" t="inlineStr">
        <is>
          <t>₹ lakh/hub</t>
        </is>
      </c>
      <c r="C39" s="14" t="n">
        <v>22</v>
      </c>
      <c r="D39" s="14" t="n">
        <v>22</v>
      </c>
      <c r="E39" s="14" t="n">
        <v>22</v>
      </c>
      <c r="F39" s="14" t="n">
        <v>22</v>
      </c>
      <c r="G39" s="14" t="n">
        <v>22</v>
      </c>
      <c r="H39" s="2" t="inlineStr">
        <is>
          <t>One-time per new hub</t>
        </is>
      </c>
    </row>
    <row r="40">
      <c r="A40" s="7" t="inlineStr">
        <is>
          <t>Platform development &amp; upgrades</t>
        </is>
      </c>
      <c r="B40" s="8" t="inlineStr">
        <is>
          <t>₹ lakh</t>
        </is>
      </c>
      <c r="C40" s="14" t="n">
        <v>60</v>
      </c>
      <c r="D40" s="14" t="n">
        <v>15</v>
      </c>
      <c r="E40" s="14" t="n">
        <v>15</v>
      </c>
      <c r="F40" s="14" t="n">
        <v>20</v>
      </c>
      <c r="G40" s="14" t="n">
        <v>20</v>
      </c>
      <c r="H40" s="2" t="inlineStr">
        <is>
          <t>Ordering app, dispatch engine, hospital dashboard</t>
        </is>
      </c>
    </row>
    <row r="41">
      <c r="A41" s="7" t="inlineStr">
        <is>
          <t>Asset life for depreciation (straight line)</t>
        </is>
      </c>
      <c r="B41" s="8" t="inlineStr">
        <is>
          <t>years</t>
        </is>
      </c>
      <c r="C41" s="10" t="n">
        <v>5</v>
      </c>
      <c r="D41" s="10" t="n">
        <v>5</v>
      </c>
      <c r="E41" s="10" t="n">
        <v>5</v>
      </c>
      <c r="F41" s="10" t="n">
        <v>5</v>
      </c>
      <c r="G41" s="10" t="n">
        <v>5</v>
      </c>
    </row>
    <row r="42">
      <c r="A42" s="5" t="inlineStr">
        <is>
          <t>Funding &amp; valuation</t>
        </is>
      </c>
      <c r="B42" s="6" t="n"/>
      <c r="C42" s="6" t="n"/>
      <c r="D42" s="6" t="n"/>
      <c r="E42" s="6" t="n"/>
      <c r="F42" s="6" t="n"/>
      <c r="G42" s="6" t="n"/>
      <c r="H42" s="6" t="n"/>
    </row>
    <row r="43">
      <c r="A43" s="7" t="inlineStr">
        <is>
          <t>Corporate tax rate</t>
        </is>
      </c>
      <c r="B43" s="8" t="inlineStr">
        <is>
          <t>%</t>
        </is>
      </c>
      <c r="C43" s="11" t="n">
        <v>0.25</v>
      </c>
      <c r="D43" s="11" t="n">
        <v>0.25</v>
      </c>
      <c r="E43" s="11" t="n">
        <v>0.25</v>
      </c>
      <c r="F43" s="11" t="n">
        <v>0.25</v>
      </c>
      <c r="G43" s="11" t="n">
        <v>0.25</v>
      </c>
      <c r="H43" s="2" t="inlineStr">
        <is>
          <t>Sec. 115BAA domestic company ~25.17%</t>
        </is>
      </c>
    </row>
    <row r="44">
      <c r="A44" s="7" t="inlineStr">
        <is>
          <t>Founders' capital</t>
        </is>
      </c>
      <c r="B44" s="8" t="inlineStr">
        <is>
          <t>₹ lakh</t>
        </is>
      </c>
      <c r="C44" s="14" t="n">
        <v>50</v>
      </c>
      <c r="D44" s="14" t="n">
        <v>0</v>
      </c>
      <c r="E44" s="14" t="n">
        <v>0</v>
      </c>
      <c r="F44" s="14" t="n">
        <v>0</v>
      </c>
      <c r="G44" s="14" t="n">
        <v>0</v>
      </c>
    </row>
    <row r="45">
      <c r="A45" s="7" t="inlineStr">
        <is>
          <t>Startup India Seed Fund grant</t>
        </is>
      </c>
      <c r="B45" s="8" t="inlineStr">
        <is>
          <t>₹ lakh</t>
        </is>
      </c>
      <c r="C45" s="14" t="n">
        <v>20</v>
      </c>
      <c r="D45" s="14" t="n">
        <v>0</v>
      </c>
      <c r="E45" s="14" t="n">
        <v>0</v>
      </c>
      <c r="F45" s="14" t="n">
        <v>0</v>
      </c>
      <c r="G45" s="14" t="n">
        <v>0</v>
      </c>
      <c r="H45" s="2" t="inlineStr">
        <is>
          <t>SISFS: up to ₹20 lakh grant for PoC</t>
        </is>
      </c>
    </row>
    <row r="46">
      <c r="A46" s="7" t="inlineStr">
        <is>
          <t>Equity raised (Seed Y1, Pre-Series A Y2)</t>
        </is>
      </c>
      <c r="B46" s="8" t="inlineStr">
        <is>
          <t>₹ lakh</t>
        </is>
      </c>
      <c r="C46" s="15" t="n">
        <v>500</v>
      </c>
      <c r="D46" s="15" t="n">
        <v>600</v>
      </c>
      <c r="E46" s="15" t="n">
        <v>0</v>
      </c>
      <c r="F46" s="15" t="n">
        <v>0</v>
      </c>
      <c r="G46" s="15" t="n">
        <v>0</v>
      </c>
      <c r="H46" s="2" t="inlineStr">
        <is>
          <t>Drone-health peers: Airbound US$8.65M seed (2025)</t>
        </is>
      </c>
    </row>
    <row r="47">
      <c r="A47" s="7" t="inlineStr">
        <is>
          <t>Discount rate for NPV</t>
        </is>
      </c>
      <c r="B47" s="8" t="inlineStr">
        <is>
          <t>%</t>
        </is>
      </c>
      <c r="C47" s="11" t="n">
        <v>0.18</v>
      </c>
      <c r="D47" s="11" t="n">
        <v>0.18</v>
      </c>
      <c r="E47" s="11" t="n">
        <v>0.18</v>
      </c>
      <c r="F47" s="11" t="n">
        <v>0.18</v>
      </c>
      <c r="G47" s="11" t="n">
        <v>0.18</v>
      </c>
      <c r="H47" s="2" t="inlineStr">
        <is>
          <t>Venture-stage hurdle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Revenue Build-up</t>
        </is>
      </c>
    </row>
    <row r="2">
      <c r="A2" s="2" t="inlineStr">
        <is>
          <t>₹ lakh unless stated · all cells are formulas linked to Assumptions</t>
        </is>
      </c>
    </row>
    <row r="4">
      <c r="A4" s="3" t="inlineStr">
        <is>
          <t>Particulars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5" t="inlineStr">
        <is>
          <t>Volume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7" t="inlineStr">
        <is>
          <t>Drone fleet</t>
        </is>
      </c>
      <c r="B6" s="8" t="inlineStr">
        <is>
          <t>nos</t>
        </is>
      </c>
      <c r="C6" s="16">
        <f>Assumptions!C6*Assumptions!C7</f>
        <v/>
      </c>
      <c r="D6" s="16">
        <f>Assumptions!D6*Assumptions!D7</f>
        <v/>
      </c>
      <c r="E6" s="16">
        <f>Assumptions!E6*Assumptions!E7</f>
        <v/>
      </c>
      <c r="F6" s="16">
        <f>Assumptions!F6*Assumptions!F7</f>
        <v/>
      </c>
      <c r="G6" s="16">
        <f>Assumptions!G6*Assumptions!G7</f>
        <v/>
      </c>
    </row>
    <row r="7">
      <c r="A7" s="17" t="inlineStr">
        <is>
          <t>Total deliveries</t>
        </is>
      </c>
      <c r="B7" s="8" t="inlineStr">
        <is>
          <t>nos</t>
        </is>
      </c>
      <c r="C7" s="18">
        <f>C6*Assumptions!C8*Assumptions!C9</f>
        <v/>
      </c>
      <c r="D7" s="18">
        <f>D6*Assumptions!D8*Assumptions!D9</f>
        <v/>
      </c>
      <c r="E7" s="18">
        <f>E6*Assumptions!E8*Assumptions!E9</f>
        <v/>
      </c>
      <c r="F7" s="18">
        <f>F6*Assumptions!F8*Assumptions!F9</f>
        <v/>
      </c>
      <c r="G7" s="18">
        <f>G6*Assumptions!G8*Assumptions!G9</f>
        <v/>
      </c>
    </row>
    <row r="8">
      <c r="A8" s="7" t="inlineStr">
        <is>
          <t xml:space="preserve">  Emergency deliveries</t>
        </is>
      </c>
      <c r="B8" s="8" t="inlineStr">
        <is>
          <t>nos</t>
        </is>
      </c>
      <c r="C8" s="19">
        <f>C7*Assumptions!C10</f>
        <v/>
      </c>
      <c r="D8" s="19">
        <f>D7*Assumptions!D10</f>
        <v/>
      </c>
      <c r="E8" s="19">
        <f>E7*Assumptions!E10</f>
        <v/>
      </c>
      <c r="F8" s="19">
        <f>F7*Assumptions!F10</f>
        <v/>
      </c>
      <c r="G8" s="19">
        <f>G7*Assumptions!G10</f>
        <v/>
      </c>
    </row>
    <row r="9">
      <c r="A9" s="7" t="inlineStr">
        <is>
          <t xml:space="preserve">  Scheduled deliveries</t>
        </is>
      </c>
      <c r="B9" s="8" t="inlineStr">
        <is>
          <t>nos</t>
        </is>
      </c>
      <c r="C9" s="19">
        <f>C7-C8</f>
        <v/>
      </c>
      <c r="D9" s="19">
        <f>D7-D8</f>
        <v/>
      </c>
      <c r="E9" s="19">
        <f>E7-E8</f>
        <v/>
      </c>
      <c r="F9" s="19">
        <f>F7-F8</f>
        <v/>
      </c>
      <c r="G9" s="19">
        <f>G7-G8</f>
        <v/>
      </c>
    </row>
    <row r="10">
      <c r="A10" s="5" t="inlineStr">
        <is>
          <t>Revenue streams (₹ lakh)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7" t="inlineStr">
        <is>
          <t>Emergency delivery fees</t>
        </is>
      </c>
      <c r="B11" s="8" t="inlineStr">
        <is>
          <t>₹ lakh</t>
        </is>
      </c>
      <c r="C11" s="20">
        <f>C8*Assumptions!C12/100000</f>
        <v/>
      </c>
      <c r="D11" s="20">
        <f>D8*Assumptions!D12/100000</f>
        <v/>
      </c>
      <c r="E11" s="20">
        <f>E8*Assumptions!E12/100000</f>
        <v/>
      </c>
      <c r="F11" s="20">
        <f>F8*Assumptions!F12/100000</f>
        <v/>
      </c>
      <c r="G11" s="20">
        <f>G8*Assumptions!G12/100000</f>
        <v/>
      </c>
    </row>
    <row r="12">
      <c r="A12" s="7" t="inlineStr">
        <is>
          <t>Scheduled delivery fees</t>
        </is>
      </c>
      <c r="B12" s="8" t="inlineStr">
        <is>
          <t>₹ lakh</t>
        </is>
      </c>
      <c r="C12" s="20">
        <f>C9*Assumptions!C13/100000</f>
        <v/>
      </c>
      <c r="D12" s="20">
        <f>D9*Assumptions!D13/100000</f>
        <v/>
      </c>
      <c r="E12" s="20">
        <f>E9*Assumptions!E13/100000</f>
        <v/>
      </c>
      <c r="F12" s="20">
        <f>F9*Assumptions!F13/100000</f>
        <v/>
      </c>
      <c r="G12" s="20">
        <f>G9*Assumptions!G13/100000</f>
        <v/>
      </c>
    </row>
    <row r="13">
      <c r="A13" s="7" t="inlineStr">
        <is>
          <t>Hospital subscriptions</t>
        </is>
      </c>
      <c r="B13" s="8" t="inlineStr">
        <is>
          <t>₹ lakh</t>
        </is>
      </c>
      <c r="C13" s="20">
        <f>Assumptions!C14*Assumptions!C15*12/100000</f>
        <v/>
      </c>
      <c r="D13" s="20">
        <f>Assumptions!D14*Assumptions!D15*12/100000</f>
        <v/>
      </c>
      <c r="E13" s="20">
        <f>Assumptions!E14*Assumptions!E15*12/100000</f>
        <v/>
      </c>
      <c r="F13" s="20">
        <f>Assumptions!F14*Assumptions!F15*12/100000</f>
        <v/>
      </c>
      <c r="G13" s="20">
        <f>Assumptions!G14*Assumptions!G15*12/100000</f>
        <v/>
      </c>
    </row>
    <row r="14">
      <c r="A14" s="7" t="inlineStr">
        <is>
          <t>Government district contracts</t>
        </is>
      </c>
      <c r="B14" s="8" t="inlineStr">
        <is>
          <t>₹ lakh</t>
        </is>
      </c>
      <c r="C14" s="20">
        <f>Assumptions!C16*Assumptions!C17</f>
        <v/>
      </c>
      <c r="D14" s="20">
        <f>Assumptions!D16*Assumptions!D17</f>
        <v/>
      </c>
      <c r="E14" s="20">
        <f>Assumptions!E16*Assumptions!E17</f>
        <v/>
      </c>
      <c r="F14" s="20">
        <f>Assumptions!F16*Assumptions!F17</f>
        <v/>
      </c>
      <c r="G14" s="20">
        <f>Assumptions!G16*Assumptions!G17</f>
        <v/>
      </c>
    </row>
    <row r="15">
      <c r="A15" s="17" t="inlineStr">
        <is>
          <t>Total revenue</t>
        </is>
      </c>
      <c r="B15" s="8" t="inlineStr">
        <is>
          <t>₹ lakh</t>
        </is>
      </c>
      <c r="C15" s="21">
        <f>SUM(C11:C14)</f>
        <v/>
      </c>
      <c r="D15" s="21">
        <f>SUM(D11:D14)</f>
        <v/>
      </c>
      <c r="E15" s="21">
        <f>SUM(E11:E14)</f>
        <v/>
      </c>
      <c r="F15" s="21">
        <f>SUM(F11:F14)</f>
        <v/>
      </c>
      <c r="G15" s="21">
        <f>SUM(G11:G14)</f>
        <v/>
      </c>
    </row>
    <row r="16">
      <c r="A16" s="7" t="inlineStr">
        <is>
          <t>Revenue growth</t>
        </is>
      </c>
      <c r="B16" s="8" t="inlineStr">
        <is>
          <t>%</t>
        </is>
      </c>
      <c r="C16" s="22" t="n">
        <v>0</v>
      </c>
      <c r="D16" s="22">
        <f>IF(C15=0,0,D15/C15-1)</f>
        <v/>
      </c>
      <c r="E16" s="22">
        <f>IF(D15=0,0,E15/D15-1)</f>
        <v/>
      </c>
      <c r="F16" s="22">
        <f>IF(E15=0,0,F15/E15-1)</f>
        <v/>
      </c>
      <c r="G16" s="22">
        <f>IF(F15=0,0,G15/F15-1)</f>
        <v/>
      </c>
      <c r="H16" s="2" t="inlineStr">
        <is>
          <t>Y1 = launch year</t>
        </is>
      </c>
    </row>
    <row r="17">
      <c r="A17" s="7" t="inlineStr">
        <is>
          <t>Avg. revenue per delivery (fees only)</t>
        </is>
      </c>
      <c r="B17" s="8" t="inlineStr">
        <is>
          <t>₹</t>
        </is>
      </c>
      <c r="C17" s="23">
        <f>IF(C7=0,0,(C11+C12)*100000/C7)</f>
        <v/>
      </c>
      <c r="D17" s="23">
        <f>IF(D7=0,0,(D11+D12)*100000/D7)</f>
        <v/>
      </c>
      <c r="E17" s="23">
        <f>IF(E7=0,0,(E11+E12)*100000/E7)</f>
        <v/>
      </c>
      <c r="F17" s="23">
        <f>IF(F7=0,0,(F11+F12)*100000/F7)</f>
        <v/>
      </c>
      <c r="G17" s="23">
        <f>IF(G7=0,0,(G11+G12)*100000/G7)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Operating Costs and Capital Expenditure</t>
        </is>
      </c>
    </row>
    <row r="2">
      <c r="A2" s="2" t="inlineStr">
        <is>
          <t>₹ lakh unless stated</t>
        </is>
      </c>
    </row>
    <row r="4">
      <c r="A4" s="3" t="inlineStr">
        <is>
          <t>Particulars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5" t="inlineStr">
        <is>
          <t>Variable costs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7" t="inlineStr">
        <is>
          <t>Variable cost per delivery</t>
        </is>
      </c>
      <c r="B6" s="8" t="inlineStr">
        <is>
          <t>₹</t>
        </is>
      </c>
      <c r="C6" s="24">
        <f>SUM(Assumptions!C19,Assumptions!C20,Assumptions!C21,Assumptions!C22,Assumptions!C23)</f>
        <v/>
      </c>
      <c r="D6" s="24">
        <f>SUM(Assumptions!D19,Assumptions!D20,Assumptions!D21,Assumptions!D22,Assumptions!D23)</f>
        <v/>
      </c>
      <c r="E6" s="24">
        <f>SUM(Assumptions!E19,Assumptions!E20,Assumptions!E21,Assumptions!E22,Assumptions!E23)</f>
        <v/>
      </c>
      <c r="F6" s="24">
        <f>SUM(Assumptions!F19,Assumptions!F20,Assumptions!F21,Assumptions!F22,Assumptions!F23)</f>
        <v/>
      </c>
      <c r="G6" s="24">
        <f>SUM(Assumptions!G19,Assumptions!G20,Assumptions!G21,Assumptions!G22,Assumptions!G23)</f>
        <v/>
      </c>
    </row>
    <row r="7">
      <c r="A7" s="17" t="inlineStr">
        <is>
          <t>Total variable cost</t>
        </is>
      </c>
      <c r="B7" s="8" t="inlineStr">
        <is>
          <t>₹ lakh</t>
        </is>
      </c>
      <c r="C7" s="21">
        <f>Revenue!C7*C6/100000</f>
        <v/>
      </c>
      <c r="D7" s="21">
        <f>Revenue!D7*D6/100000</f>
        <v/>
      </c>
      <c r="E7" s="21">
        <f>Revenue!E7*E6/100000</f>
        <v/>
      </c>
      <c r="F7" s="21">
        <f>Revenue!F7*F6/100000</f>
        <v/>
      </c>
      <c r="G7" s="21">
        <f>Revenue!G7*G6/100000</f>
        <v/>
      </c>
    </row>
    <row r="8">
      <c r="A8" s="5" t="inlineStr">
        <is>
          <t>Fixed operating costs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7" t="inlineStr">
        <is>
          <t>Hub staff (pilots, technicians, managers)</t>
        </is>
      </c>
      <c r="B9" s="8" t="inlineStr">
        <is>
          <t>₹ lakh</t>
        </is>
      </c>
      <c r="C9" s="20">
        <f>Assumptions!C6*(Assumptions!C25*Assumptions!C26+Assumptions!C27*Assumptions!C28+Assumptions!C29*Assumptions!C30)</f>
        <v/>
      </c>
      <c r="D9" s="20">
        <f>Assumptions!D6*(Assumptions!D25*Assumptions!D26+Assumptions!D27*Assumptions!D28+Assumptions!D29*Assumptions!D30)</f>
        <v/>
      </c>
      <c r="E9" s="20">
        <f>Assumptions!E6*(Assumptions!E25*Assumptions!E26+Assumptions!E27*Assumptions!E28+Assumptions!E29*Assumptions!E30)</f>
        <v/>
      </c>
      <c r="F9" s="20">
        <f>Assumptions!F6*(Assumptions!F25*Assumptions!F26+Assumptions!F27*Assumptions!F28+Assumptions!F29*Assumptions!F30)</f>
        <v/>
      </c>
      <c r="G9" s="20">
        <f>Assumptions!G6*(Assumptions!G25*Assumptions!G26+Assumptions!G27*Assumptions!G28+Assumptions!G29*Assumptions!G30)</f>
        <v/>
      </c>
    </row>
    <row r="10">
      <c r="A10" s="7" t="inlineStr">
        <is>
          <t>Hub rent &amp; utilities</t>
        </is>
      </c>
      <c r="B10" s="8" t="inlineStr">
        <is>
          <t>₹ lakh</t>
        </is>
      </c>
      <c r="C10" s="20">
        <f>Assumptions!C6*Assumptions!C31</f>
        <v/>
      </c>
      <c r="D10" s="20">
        <f>Assumptions!D6*Assumptions!D31</f>
        <v/>
      </c>
      <c r="E10" s="20">
        <f>Assumptions!E6*Assumptions!E31</f>
        <v/>
      </c>
      <c r="F10" s="20">
        <f>Assumptions!F6*Assumptions!F31</f>
        <v/>
      </c>
      <c r="G10" s="20">
        <f>Assumptions!G6*Assumptions!G31</f>
        <v/>
      </c>
    </row>
    <row r="11">
      <c r="A11" s="7" t="inlineStr">
        <is>
          <t>Insurance</t>
        </is>
      </c>
      <c r="B11" s="8" t="inlineStr">
        <is>
          <t>₹ lakh</t>
        </is>
      </c>
      <c r="C11" s="20">
        <f>Revenue!C6*Assumptions!C32</f>
        <v/>
      </c>
      <c r="D11" s="20">
        <f>Revenue!D6*Assumptions!D32</f>
        <v/>
      </c>
      <c r="E11" s="20">
        <f>Revenue!E6*Assumptions!E32</f>
        <v/>
      </c>
      <c r="F11" s="20">
        <f>Revenue!F6*Assumptions!F32</f>
        <v/>
      </c>
      <c r="G11" s="20">
        <f>Revenue!G6*Assumptions!G32</f>
        <v/>
      </c>
    </row>
    <row r="12">
      <c r="A12" s="7" t="inlineStr">
        <is>
          <t>Corporate team</t>
        </is>
      </c>
      <c r="B12" s="8" t="inlineStr">
        <is>
          <t>₹ lakh</t>
        </is>
      </c>
      <c r="C12" s="25">
        <f>Assumptions!C33</f>
        <v/>
      </c>
      <c r="D12" s="25">
        <f>Assumptions!D33</f>
        <v/>
      </c>
      <c r="E12" s="25">
        <f>Assumptions!E33</f>
        <v/>
      </c>
      <c r="F12" s="25">
        <f>Assumptions!F33</f>
        <v/>
      </c>
      <c r="G12" s="25">
        <f>Assumptions!G33</f>
        <v/>
      </c>
    </row>
    <row r="13">
      <c r="A13" s="7" t="inlineStr">
        <is>
          <t>Marketing &amp; business development</t>
        </is>
      </c>
      <c r="B13" s="8" t="inlineStr">
        <is>
          <t>₹ lakh</t>
        </is>
      </c>
      <c r="C13" s="20">
        <f>Revenue!C15*Assumptions!C34</f>
        <v/>
      </c>
      <c r="D13" s="20">
        <f>Revenue!D15*Assumptions!D34</f>
        <v/>
      </c>
      <c r="E13" s="20">
        <f>Revenue!E15*Assumptions!E34</f>
        <v/>
      </c>
      <c r="F13" s="20">
        <f>Revenue!F15*Assumptions!F34</f>
        <v/>
      </c>
      <c r="G13" s="20">
        <f>Revenue!G15*Assumptions!G34</f>
        <v/>
      </c>
    </row>
    <row r="14">
      <c r="A14" s="7" t="inlineStr">
        <is>
          <t>Regulatory &amp; compliance</t>
        </is>
      </c>
      <c r="B14" s="8" t="inlineStr">
        <is>
          <t>₹ lakh</t>
        </is>
      </c>
      <c r="C14" s="25">
        <f>Assumptions!C35</f>
        <v/>
      </c>
      <c r="D14" s="25">
        <f>Assumptions!D35</f>
        <v/>
      </c>
      <c r="E14" s="25">
        <f>Assumptions!E35</f>
        <v/>
      </c>
      <c r="F14" s="25">
        <f>Assumptions!F35</f>
        <v/>
      </c>
      <c r="G14" s="25">
        <f>Assumptions!G35</f>
        <v/>
      </c>
    </row>
    <row r="15">
      <c r="A15" s="7" t="inlineStr">
        <is>
          <t>Cloud, UTM &amp; app platform</t>
        </is>
      </c>
      <c r="B15" s="8" t="inlineStr">
        <is>
          <t>₹ lakh</t>
        </is>
      </c>
      <c r="C15" s="25">
        <f>Assumptions!C36</f>
        <v/>
      </c>
      <c r="D15" s="25">
        <f>Assumptions!D36</f>
        <v/>
      </c>
      <c r="E15" s="25">
        <f>Assumptions!E36</f>
        <v/>
      </c>
      <c r="F15" s="25">
        <f>Assumptions!F36</f>
        <v/>
      </c>
      <c r="G15" s="25">
        <f>Assumptions!G36</f>
        <v/>
      </c>
    </row>
    <row r="16">
      <c r="A16" s="17" t="inlineStr">
        <is>
          <t>Total fixed operating costs</t>
        </is>
      </c>
      <c r="B16" s="8" t="inlineStr">
        <is>
          <t>₹ lakh</t>
        </is>
      </c>
      <c r="C16" s="21">
        <f>SUM(C9:C15)</f>
        <v/>
      </c>
      <c r="D16" s="21">
        <f>SUM(D9:D15)</f>
        <v/>
      </c>
      <c r="E16" s="21">
        <f>SUM(E9:E15)</f>
        <v/>
      </c>
      <c r="F16" s="21">
        <f>SUM(F9:F15)</f>
        <v/>
      </c>
      <c r="G16" s="21">
        <f>SUM(G9:G15)</f>
        <v/>
      </c>
    </row>
    <row r="17">
      <c r="A17" s="5" t="inlineStr">
        <is>
          <t>Capital expenditure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7" t="inlineStr">
        <is>
          <t>New drones added</t>
        </is>
      </c>
      <c r="B18" s="8" t="inlineStr">
        <is>
          <t>nos</t>
        </is>
      </c>
      <c r="C18" s="19">
        <f>Revenue!C6</f>
        <v/>
      </c>
      <c r="D18" s="19">
        <f>Revenue!D6-Revenue!C6</f>
        <v/>
      </c>
      <c r="E18" s="19">
        <f>Revenue!E6-Revenue!D6</f>
        <v/>
      </c>
      <c r="F18" s="19">
        <f>Revenue!F6-Revenue!E6</f>
        <v/>
      </c>
      <c r="G18" s="19">
        <f>Revenue!G6-Revenue!F6</f>
        <v/>
      </c>
    </row>
    <row r="19">
      <c r="A19" s="7" t="inlineStr">
        <is>
          <t>New hubs added</t>
        </is>
      </c>
      <c r="B19" s="8" t="inlineStr">
        <is>
          <t>nos</t>
        </is>
      </c>
      <c r="C19" s="19">
        <f>Assumptions!C6</f>
        <v/>
      </c>
      <c r="D19" s="19">
        <f>Assumptions!D6-Assumptions!C6</f>
        <v/>
      </c>
      <c r="E19" s="19">
        <f>Assumptions!E6-Assumptions!D6</f>
        <v/>
      </c>
      <c r="F19" s="19">
        <f>Assumptions!F6-Assumptions!E6</f>
        <v/>
      </c>
      <c r="G19" s="19">
        <f>Assumptions!G6-Assumptions!F6</f>
        <v/>
      </c>
    </row>
    <row r="20">
      <c r="A20" s="7" t="inlineStr">
        <is>
          <t>Drone capex</t>
        </is>
      </c>
      <c r="B20" s="8" t="inlineStr">
        <is>
          <t>₹ lakh</t>
        </is>
      </c>
      <c r="C20" s="20">
        <f>C18*Assumptions!C38</f>
        <v/>
      </c>
      <c r="D20" s="20">
        <f>D18*Assumptions!D38</f>
        <v/>
      </c>
      <c r="E20" s="20">
        <f>E18*Assumptions!E38</f>
        <v/>
      </c>
      <c r="F20" s="20">
        <f>F18*Assumptions!F38</f>
        <v/>
      </c>
      <c r="G20" s="20">
        <f>G18*Assumptions!G38</f>
        <v/>
      </c>
    </row>
    <row r="21">
      <c r="A21" s="7" t="inlineStr">
        <is>
          <t>Hub setup capex</t>
        </is>
      </c>
      <c r="B21" s="8" t="inlineStr">
        <is>
          <t>₹ lakh</t>
        </is>
      </c>
      <c r="C21" s="20">
        <f>C19*Assumptions!C39</f>
        <v/>
      </c>
      <c r="D21" s="20">
        <f>D19*Assumptions!D39</f>
        <v/>
      </c>
      <c r="E21" s="20">
        <f>E19*Assumptions!E39</f>
        <v/>
      </c>
      <c r="F21" s="20">
        <f>F19*Assumptions!F39</f>
        <v/>
      </c>
      <c r="G21" s="20">
        <f>G19*Assumptions!G39</f>
        <v/>
      </c>
    </row>
    <row r="22">
      <c r="A22" s="7" t="inlineStr">
        <is>
          <t>Platform development</t>
        </is>
      </c>
      <c r="B22" s="8" t="inlineStr">
        <is>
          <t>₹ lakh</t>
        </is>
      </c>
      <c r="C22" s="25">
        <f>Assumptions!C40</f>
        <v/>
      </c>
      <c r="D22" s="25">
        <f>Assumptions!D40</f>
        <v/>
      </c>
      <c r="E22" s="25">
        <f>Assumptions!E40</f>
        <v/>
      </c>
      <c r="F22" s="25">
        <f>Assumptions!F40</f>
        <v/>
      </c>
      <c r="G22" s="25">
        <f>Assumptions!G40</f>
        <v/>
      </c>
    </row>
    <row r="23">
      <c r="A23" s="17" t="inlineStr">
        <is>
          <t>Total capex</t>
        </is>
      </c>
      <c r="B23" s="8" t="inlineStr">
        <is>
          <t>₹ lakh</t>
        </is>
      </c>
      <c r="C23" s="21">
        <f>SUM(C20:C22)</f>
        <v/>
      </c>
      <c r="D23" s="21">
        <f>SUM(D20:D22)</f>
        <v/>
      </c>
      <c r="E23" s="21">
        <f>SUM(E20:E22)</f>
        <v/>
      </c>
      <c r="F23" s="21">
        <f>SUM(F20:F22)</f>
        <v/>
      </c>
      <c r="G23" s="21">
        <f>SUM(G20:G22)</f>
        <v/>
      </c>
    </row>
    <row r="24">
      <c r="A24" s="7" t="inlineStr">
        <is>
          <t>Depreciation (straight line)</t>
        </is>
      </c>
      <c r="B24" s="8" t="inlineStr">
        <is>
          <t>₹ lakh</t>
        </is>
      </c>
      <c r="C24" s="20">
        <f>SUM($C$23:C23)/Assumptions!C41</f>
        <v/>
      </c>
      <c r="D24" s="20">
        <f>SUM($C$23:D23)/Assumptions!D41</f>
        <v/>
      </c>
      <c r="E24" s="20">
        <f>SUM($C$23:E23)/Assumptions!E41</f>
        <v/>
      </c>
      <c r="F24" s="20">
        <f>SUM($C$23:F23)/Assumptions!F41</f>
        <v/>
      </c>
      <c r="G24" s="20">
        <f>SUM($C$23:G23)/Assumptions!G41</f>
        <v/>
      </c>
      <c r="H24" s="2" t="inlineStr">
        <is>
          <t>Cumulative capex ÷ asset life (no asset fully depreciated within 5 years)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Projected Profit &amp; Loss Statement</t>
        </is>
      </c>
    </row>
    <row r="2">
      <c r="A2" s="2" t="inlineStr">
        <is>
          <t>₹ lakh</t>
        </is>
      </c>
    </row>
    <row r="4">
      <c r="A4" s="3" t="inlineStr">
        <is>
          <t>Particulars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17" t="inlineStr">
        <is>
          <t>Revenue</t>
        </is>
      </c>
      <c r="B5" s="8" t="inlineStr">
        <is>
          <t>₹ lakh</t>
        </is>
      </c>
      <c r="C5" s="26">
        <f>Revenue!C15</f>
        <v/>
      </c>
      <c r="D5" s="26">
        <f>Revenue!D15</f>
        <v/>
      </c>
      <c r="E5" s="26">
        <f>Revenue!E15</f>
        <v/>
      </c>
      <c r="F5" s="26">
        <f>Revenue!F15</f>
        <v/>
      </c>
      <c r="G5" s="26">
        <f>Revenue!G15</f>
        <v/>
      </c>
    </row>
    <row r="6">
      <c r="A6" s="7" t="inlineStr">
        <is>
          <t>Less: variable costs</t>
        </is>
      </c>
      <c r="B6" s="8" t="inlineStr">
        <is>
          <t>₹ lakh</t>
        </is>
      </c>
      <c r="C6" s="25">
        <f>'Costs &amp; Capex'!C7</f>
        <v/>
      </c>
      <c r="D6" s="25">
        <f>'Costs &amp; Capex'!D7</f>
        <v/>
      </c>
      <c r="E6" s="25">
        <f>'Costs &amp; Capex'!E7</f>
        <v/>
      </c>
      <c r="F6" s="25">
        <f>'Costs &amp; Capex'!F7</f>
        <v/>
      </c>
      <c r="G6" s="25">
        <f>'Costs &amp; Capex'!G7</f>
        <v/>
      </c>
    </row>
    <row r="7">
      <c r="A7" s="17" t="inlineStr">
        <is>
          <t>Gross profit</t>
        </is>
      </c>
      <c r="B7" s="8" t="inlineStr">
        <is>
          <t>₹ lakh</t>
        </is>
      </c>
      <c r="C7" s="21">
        <f>C5-C6</f>
        <v/>
      </c>
      <c r="D7" s="21">
        <f>D5-D6</f>
        <v/>
      </c>
      <c r="E7" s="21">
        <f>E5-E6</f>
        <v/>
      </c>
      <c r="F7" s="21">
        <f>F5-F6</f>
        <v/>
      </c>
      <c r="G7" s="21">
        <f>G5-G6</f>
        <v/>
      </c>
    </row>
    <row r="8">
      <c r="A8" s="7" t="inlineStr">
        <is>
          <t>Gross margin</t>
        </is>
      </c>
      <c r="B8" s="8" t="inlineStr">
        <is>
          <t>%</t>
        </is>
      </c>
      <c r="C8" s="22">
        <f>IF(C5=0,0,C7/C5)</f>
        <v/>
      </c>
      <c r="D8" s="22">
        <f>IF(D5=0,0,D7/D5)</f>
        <v/>
      </c>
      <c r="E8" s="22">
        <f>IF(E5=0,0,E7/E5)</f>
        <v/>
      </c>
      <c r="F8" s="22">
        <f>IF(F5=0,0,F7/F5)</f>
        <v/>
      </c>
      <c r="G8" s="22">
        <f>IF(G5=0,0,G7/G5)</f>
        <v/>
      </c>
    </row>
    <row r="9">
      <c r="A9" s="7" t="inlineStr">
        <is>
          <t>Less: fixed operating costs</t>
        </is>
      </c>
      <c r="B9" s="8" t="inlineStr">
        <is>
          <t>₹ lakh</t>
        </is>
      </c>
      <c r="C9" s="25">
        <f>'Costs &amp; Capex'!C16</f>
        <v/>
      </c>
      <c r="D9" s="25">
        <f>'Costs &amp; Capex'!D16</f>
        <v/>
      </c>
      <c r="E9" s="25">
        <f>'Costs &amp; Capex'!E16</f>
        <v/>
      </c>
      <c r="F9" s="25">
        <f>'Costs &amp; Capex'!F16</f>
        <v/>
      </c>
      <c r="G9" s="25">
        <f>'Costs &amp; Capex'!G16</f>
        <v/>
      </c>
    </row>
    <row r="10">
      <c r="A10" s="17" t="inlineStr">
        <is>
          <t>EBITDA</t>
        </is>
      </c>
      <c r="B10" s="8" t="inlineStr">
        <is>
          <t>₹ lakh</t>
        </is>
      </c>
      <c r="C10" s="21">
        <f>C7-C9</f>
        <v/>
      </c>
      <c r="D10" s="21">
        <f>D7-D9</f>
        <v/>
      </c>
      <c r="E10" s="21">
        <f>E7-E9</f>
        <v/>
      </c>
      <c r="F10" s="21">
        <f>F7-F9</f>
        <v/>
      </c>
      <c r="G10" s="21">
        <f>G7-G9</f>
        <v/>
      </c>
    </row>
    <row r="11">
      <c r="A11" s="7" t="inlineStr">
        <is>
          <t>EBITDA margin</t>
        </is>
      </c>
      <c r="B11" s="8" t="inlineStr">
        <is>
          <t>%</t>
        </is>
      </c>
      <c r="C11" s="22">
        <f>IF(C5=0,0,C10/C5)</f>
        <v/>
      </c>
      <c r="D11" s="22">
        <f>IF(D5=0,0,D10/D5)</f>
        <v/>
      </c>
      <c r="E11" s="22">
        <f>IF(E5=0,0,E10/E5)</f>
        <v/>
      </c>
      <c r="F11" s="22">
        <f>IF(F5=0,0,F10/F5)</f>
        <v/>
      </c>
      <c r="G11" s="22">
        <f>IF(G5=0,0,G10/G5)</f>
        <v/>
      </c>
    </row>
    <row r="12">
      <c r="A12" s="7" t="inlineStr">
        <is>
          <t>Less: depreciation</t>
        </is>
      </c>
      <c r="B12" s="8" t="inlineStr">
        <is>
          <t>₹ lakh</t>
        </is>
      </c>
      <c r="C12" s="25">
        <f>'Costs &amp; Capex'!C24</f>
        <v/>
      </c>
      <c r="D12" s="25">
        <f>'Costs &amp; Capex'!D24</f>
        <v/>
      </c>
      <c r="E12" s="25">
        <f>'Costs &amp; Capex'!E24</f>
        <v/>
      </c>
      <c r="F12" s="25">
        <f>'Costs &amp; Capex'!F24</f>
        <v/>
      </c>
      <c r="G12" s="25">
        <f>'Costs &amp; Capex'!G24</f>
        <v/>
      </c>
    </row>
    <row r="13">
      <c r="A13" s="17" t="inlineStr">
        <is>
          <t>EBIT / Profit before tax</t>
        </is>
      </c>
      <c r="B13" s="8" t="inlineStr">
        <is>
          <t>₹ lakh</t>
        </is>
      </c>
      <c r="C13" s="21">
        <f>C10-C12</f>
        <v/>
      </c>
      <c r="D13" s="21">
        <f>D10-D12</f>
        <v/>
      </c>
      <c r="E13" s="21">
        <f>E10-E12</f>
        <v/>
      </c>
      <c r="F13" s="21">
        <f>F10-F12</f>
        <v/>
      </c>
      <c r="G13" s="21">
        <f>G10-G12</f>
        <v/>
      </c>
    </row>
    <row r="14">
      <c r="A14" s="7" t="inlineStr">
        <is>
          <t>Cumulative PBT (for loss set-off)</t>
        </is>
      </c>
      <c r="B14" s="8" t="inlineStr">
        <is>
          <t>₹ lakh</t>
        </is>
      </c>
      <c r="C14" s="20">
        <f>SUM($C$13:C13)</f>
        <v/>
      </c>
      <c r="D14" s="20">
        <f>SUM($C$13:D13)</f>
        <v/>
      </c>
      <c r="E14" s="20">
        <f>SUM($C$13:E13)</f>
        <v/>
      </c>
      <c r="F14" s="20">
        <f>SUM($C$13:F13)</f>
        <v/>
      </c>
      <c r="G14" s="20">
        <f>SUM($C$13:G13)</f>
        <v/>
      </c>
    </row>
    <row r="15">
      <c r="A15" s="7" t="inlineStr">
        <is>
          <t>Less: tax</t>
        </is>
      </c>
      <c r="B15" s="8" t="inlineStr">
        <is>
          <t>₹ lakh</t>
        </is>
      </c>
      <c r="C15" s="20">
        <f>MAX(0,MIN(C13,C14))*Assumptions!C43</f>
        <v/>
      </c>
      <c r="D15" s="20">
        <f>MAX(0,MIN(D13,D14))*Assumptions!D43</f>
        <v/>
      </c>
      <c r="E15" s="20">
        <f>MAX(0,MIN(E13,E14))*Assumptions!E43</f>
        <v/>
      </c>
      <c r="F15" s="20">
        <f>MAX(0,MIN(F13,F14))*Assumptions!F43</f>
        <v/>
      </c>
      <c r="G15" s="20">
        <f>MAX(0,MIN(G13,G14))*Assumptions!G43</f>
        <v/>
      </c>
      <c r="H15" s="2" t="inlineStr">
        <is>
          <t>Tax only once cumulative losses are absorbed (carry-forward of losses)</t>
        </is>
      </c>
    </row>
    <row r="16">
      <c r="A16" s="17" t="inlineStr">
        <is>
          <t>Net profit (PAT)</t>
        </is>
      </c>
      <c r="B16" s="8" t="inlineStr">
        <is>
          <t>₹ lakh</t>
        </is>
      </c>
      <c r="C16" s="21">
        <f>C13-C15</f>
        <v/>
      </c>
      <c r="D16" s="21">
        <f>D13-D15</f>
        <v/>
      </c>
      <c r="E16" s="21">
        <f>E13-E15</f>
        <v/>
      </c>
      <c r="F16" s="21">
        <f>F13-F15</f>
        <v/>
      </c>
      <c r="G16" s="21">
        <f>G13-G15</f>
        <v/>
      </c>
    </row>
    <row r="17">
      <c r="A17" s="7" t="inlineStr">
        <is>
          <t>Net margin</t>
        </is>
      </c>
      <c r="B17" s="8" t="inlineStr">
        <is>
          <t>%</t>
        </is>
      </c>
      <c r="C17" s="22">
        <f>IF(C5=0,0,C16/C5)</f>
        <v/>
      </c>
      <c r="D17" s="22">
        <f>IF(D5=0,0,D16/D5)</f>
        <v/>
      </c>
      <c r="E17" s="22">
        <f>IF(E5=0,0,E16/E5)</f>
        <v/>
      </c>
      <c r="F17" s="22">
        <f>IF(F5=0,0,F16/F5)</f>
        <v/>
      </c>
      <c r="G17" s="22">
        <f>IF(G5=0,0,G16/G5)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Projected Cash Flow Statement</t>
        </is>
      </c>
    </row>
    <row r="2">
      <c r="A2" s="2" t="inlineStr">
        <is>
          <t>₹ lakh</t>
        </is>
      </c>
    </row>
    <row r="4">
      <c r="A4" s="3" t="inlineStr">
        <is>
          <t>Particulars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7" t="inlineStr">
        <is>
          <t>Opening cash balance</t>
        </is>
      </c>
      <c r="B5" s="8" t="inlineStr">
        <is>
          <t>₹ lakh</t>
        </is>
      </c>
      <c r="C5" s="20" t="n">
        <v>0</v>
      </c>
      <c r="D5" s="20">
        <f>C13</f>
        <v/>
      </c>
      <c r="E5" s="20">
        <f>D13</f>
        <v/>
      </c>
      <c r="F5" s="20">
        <f>E13</f>
        <v/>
      </c>
      <c r="G5" s="20">
        <f>F13</f>
        <v/>
      </c>
    </row>
    <row r="6">
      <c r="A6" s="7" t="inlineStr">
        <is>
          <t>Net profit (PAT)</t>
        </is>
      </c>
      <c r="B6" s="8" t="inlineStr">
        <is>
          <t>₹ lakh</t>
        </is>
      </c>
      <c r="C6" s="25">
        <f>'P&amp;L'!C16</f>
        <v/>
      </c>
      <c r="D6" s="25">
        <f>'P&amp;L'!D16</f>
        <v/>
      </c>
      <c r="E6" s="25">
        <f>'P&amp;L'!E16</f>
        <v/>
      </c>
      <c r="F6" s="25">
        <f>'P&amp;L'!F16</f>
        <v/>
      </c>
      <c r="G6" s="25">
        <f>'P&amp;L'!G16</f>
        <v/>
      </c>
    </row>
    <row r="7">
      <c r="A7" s="7" t="inlineStr">
        <is>
          <t>Add: depreciation</t>
        </is>
      </c>
      <c r="B7" s="8" t="inlineStr">
        <is>
          <t>₹ lakh</t>
        </is>
      </c>
      <c r="C7" s="25">
        <f>'P&amp;L'!C12</f>
        <v/>
      </c>
      <c r="D7" s="25">
        <f>'P&amp;L'!D12</f>
        <v/>
      </c>
      <c r="E7" s="25">
        <f>'P&amp;L'!E12</f>
        <v/>
      </c>
      <c r="F7" s="25">
        <f>'P&amp;L'!F12</f>
        <v/>
      </c>
      <c r="G7" s="25">
        <f>'P&amp;L'!G12</f>
        <v/>
      </c>
    </row>
    <row r="8">
      <c r="A8" s="17" t="inlineStr">
        <is>
          <t>Cash flow from operations</t>
        </is>
      </c>
      <c r="B8" s="8" t="inlineStr">
        <is>
          <t>₹ lakh</t>
        </is>
      </c>
      <c r="C8" s="21">
        <f>C6+C7</f>
        <v/>
      </c>
      <c r="D8" s="21">
        <f>D6+D7</f>
        <v/>
      </c>
      <c r="E8" s="21">
        <f>E6+E7</f>
        <v/>
      </c>
      <c r="F8" s="21">
        <f>F6+F7</f>
        <v/>
      </c>
      <c r="G8" s="21">
        <f>G6+G7</f>
        <v/>
      </c>
    </row>
    <row r="9">
      <c r="A9" s="7" t="inlineStr">
        <is>
          <t>Less: capex</t>
        </is>
      </c>
      <c r="B9" s="8" t="inlineStr">
        <is>
          <t>₹ lakh</t>
        </is>
      </c>
      <c r="C9" s="25">
        <f>-'Costs &amp; Capex'!C23</f>
        <v/>
      </c>
      <c r="D9" s="25">
        <f>-'Costs &amp; Capex'!D23</f>
        <v/>
      </c>
      <c r="E9" s="25">
        <f>-'Costs &amp; Capex'!E23</f>
        <v/>
      </c>
      <c r="F9" s="25">
        <f>-'Costs &amp; Capex'!F23</f>
        <v/>
      </c>
      <c r="G9" s="25">
        <f>-'Costs &amp; Capex'!G23</f>
        <v/>
      </c>
    </row>
    <row r="10">
      <c r="A10" s="7" t="inlineStr">
        <is>
          <t>Funding: founders + grant</t>
        </is>
      </c>
      <c r="B10" s="8" t="inlineStr">
        <is>
          <t>₹ lakh</t>
        </is>
      </c>
      <c r="C10" s="25">
        <f>Assumptions!C44+Assumptions!C45</f>
        <v/>
      </c>
      <c r="D10" s="25">
        <f>Assumptions!D44+Assumptions!D45</f>
        <v/>
      </c>
      <c r="E10" s="25">
        <f>Assumptions!E44+Assumptions!E45</f>
        <v/>
      </c>
      <c r="F10" s="25">
        <f>Assumptions!F44+Assumptions!F45</f>
        <v/>
      </c>
      <c r="G10" s="25">
        <f>Assumptions!G44+Assumptions!G45</f>
        <v/>
      </c>
    </row>
    <row r="11">
      <c r="A11" s="7" t="inlineStr">
        <is>
          <t>Funding: equity raised</t>
        </is>
      </c>
      <c r="B11" s="8" t="inlineStr">
        <is>
          <t>₹ lakh</t>
        </is>
      </c>
      <c r="C11" s="25">
        <f>Assumptions!C46</f>
        <v/>
      </c>
      <c r="D11" s="25">
        <f>Assumptions!D46</f>
        <v/>
      </c>
      <c r="E11" s="25">
        <f>Assumptions!E46</f>
        <v/>
      </c>
      <c r="F11" s="25">
        <f>Assumptions!F46</f>
        <v/>
      </c>
      <c r="G11" s="25">
        <f>Assumptions!G46</f>
        <v/>
      </c>
    </row>
    <row r="12">
      <c r="A12" s="7" t="inlineStr">
        <is>
          <t>Net change in cash</t>
        </is>
      </c>
      <c r="B12" s="8" t="inlineStr">
        <is>
          <t>₹ lakh</t>
        </is>
      </c>
      <c r="C12" s="20">
        <f>C8+C9+C10+C11</f>
        <v/>
      </c>
      <c r="D12" s="20">
        <f>D8+D9+D10+D11</f>
        <v/>
      </c>
      <c r="E12" s="20">
        <f>E8+E9+E10+E11</f>
        <v/>
      </c>
      <c r="F12" s="20">
        <f>F8+F9+F10+F11</f>
        <v/>
      </c>
      <c r="G12" s="20">
        <f>G8+G9+G10+G11</f>
        <v/>
      </c>
    </row>
    <row r="13">
      <c r="A13" s="17" t="inlineStr">
        <is>
          <t>Closing cash balance</t>
        </is>
      </c>
      <c r="B13" s="8" t="inlineStr">
        <is>
          <t>₹ lakh</t>
        </is>
      </c>
      <c r="C13" s="21">
        <f>C5+C12</f>
        <v/>
      </c>
      <c r="D13" s="21">
        <f>D5+D12</f>
        <v/>
      </c>
      <c r="E13" s="21">
        <f>E5+E12</f>
        <v/>
      </c>
      <c r="F13" s="21">
        <f>F5+F12</f>
        <v/>
      </c>
      <c r="G13" s="21">
        <f>G5+G12</f>
        <v/>
      </c>
    </row>
    <row r="14">
      <c r="A14" s="7" t="inlineStr">
        <is>
          <t>Cash check (must stay positive)</t>
        </is>
      </c>
      <c r="B14" s="8" t="inlineStr"/>
      <c r="C14" s="27">
        <f>IF(C13&gt;=0,"OK","SHORTFALL")</f>
        <v/>
      </c>
      <c r="D14" s="27">
        <f>IF(D13&gt;=0,"OK","SHORTFALL")</f>
        <v/>
      </c>
      <c r="E14" s="27">
        <f>IF(E13&gt;=0,"OK","SHORTFALL")</f>
        <v/>
      </c>
      <c r="F14" s="27">
        <f>IF(F13&gt;=0,"OK","SHORTFALL")</f>
        <v/>
      </c>
      <c r="G14" s="27">
        <f>IF(G13&gt;=0,"OK","SHORTFALL")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Investment Appraisal, Break-even and Unit Economics</t>
        </is>
      </c>
    </row>
    <row r="2">
      <c r="A2" s="2" t="inlineStr">
        <is>
          <t>₹ lakh unless stated</t>
        </is>
      </c>
    </row>
    <row r="4">
      <c r="A4" s="3" t="inlineStr">
        <is>
          <t>Particulars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5" t="inlineStr">
        <is>
          <t>Free cash flow &amp; appraisal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17" t="inlineStr">
        <is>
          <t>Free cash flow to firm (EBITDA − tax − capex)</t>
        </is>
      </c>
      <c r="B6" s="8" t="inlineStr">
        <is>
          <t>₹ lakh</t>
        </is>
      </c>
      <c r="C6" s="21">
        <f>'P&amp;L'!C10-'P&amp;L'!C15-'Costs &amp; Capex'!C23</f>
        <v/>
      </c>
      <c r="D6" s="21">
        <f>'P&amp;L'!D10-'P&amp;L'!D15-'Costs &amp; Capex'!D23</f>
        <v/>
      </c>
      <c r="E6" s="21">
        <f>'P&amp;L'!E10-'P&amp;L'!E15-'Costs &amp; Capex'!E23</f>
        <v/>
      </c>
      <c r="F6" s="21">
        <f>'P&amp;L'!F10-'P&amp;L'!F15-'Costs &amp; Capex'!F23</f>
        <v/>
      </c>
      <c r="G6" s="21">
        <f>'P&amp;L'!G10-'P&amp;L'!G15-'Costs &amp; Capex'!G23</f>
        <v/>
      </c>
    </row>
    <row r="7">
      <c r="A7" s="7" t="inlineStr">
        <is>
          <t>Cumulative free cash flow</t>
        </is>
      </c>
      <c r="B7" s="8" t="inlineStr">
        <is>
          <t>₹ lakh</t>
        </is>
      </c>
      <c r="C7" s="20">
        <f>SUM($C$6:C6)</f>
        <v/>
      </c>
      <c r="D7" s="20">
        <f>SUM($C$6:D6)</f>
        <v/>
      </c>
      <c r="E7" s="20">
        <f>SUM($C$6:E6)</f>
        <v/>
      </c>
      <c r="F7" s="20">
        <f>SUM($C$6:F6)</f>
        <v/>
      </c>
      <c r="G7" s="20">
        <f>SUM($C$6:G6)</f>
        <v/>
      </c>
    </row>
    <row r="8">
      <c r="A8" s="7" t="inlineStr">
        <is>
          <t>Discount factor</t>
        </is>
      </c>
      <c r="B8" s="8" t="inlineStr"/>
      <c r="C8" s="28">
        <f>1/(1+Assumptions!C47)^1</f>
        <v/>
      </c>
      <c r="D8" s="28">
        <f>1/(1+Assumptions!C47)^2</f>
        <v/>
      </c>
      <c r="E8" s="28">
        <f>1/(1+Assumptions!C47)^3</f>
        <v/>
      </c>
      <c r="F8" s="28">
        <f>1/(1+Assumptions!C47)^4</f>
        <v/>
      </c>
      <c r="G8" s="28">
        <f>1/(1+Assumptions!C47)^5</f>
        <v/>
      </c>
    </row>
    <row r="9">
      <c r="A9" s="7" t="inlineStr">
        <is>
          <t>Discounted free cash flow</t>
        </is>
      </c>
      <c r="B9" s="8" t="inlineStr">
        <is>
          <t>₹ lakh</t>
        </is>
      </c>
      <c r="C9" s="20">
        <f>C6*C8</f>
        <v/>
      </c>
      <c r="D9" s="20">
        <f>D6*D8</f>
        <v/>
      </c>
      <c r="E9" s="20">
        <f>E6*E8</f>
        <v/>
      </c>
      <c r="F9" s="20">
        <f>F6*F8</f>
        <v/>
      </c>
      <c r="G9" s="20">
        <f>G6*G8</f>
        <v/>
      </c>
    </row>
    <row r="10">
      <c r="A10" s="7" t="inlineStr">
        <is>
          <t>FCF incl. terminal value (for IRR)</t>
        </is>
      </c>
      <c r="B10" s="8" t="inlineStr">
        <is>
          <t>₹ lakh</t>
        </is>
      </c>
      <c r="C10" s="20">
        <f>C6</f>
        <v/>
      </c>
      <c r="D10" s="20">
        <f>D6</f>
        <v/>
      </c>
      <c r="E10" s="20">
        <f>E6</f>
        <v/>
      </c>
      <c r="F10" s="20">
        <f>F6</f>
        <v/>
      </c>
      <c r="G10" s="20">
        <f>G6*6</f>
        <v/>
      </c>
      <c r="H10" s="2" t="inlineStr">
        <is>
          <t>Y5 = FCF + terminal value of 5× FCF</t>
        </is>
      </c>
    </row>
    <row r="11">
      <c r="A11" s="17" t="inlineStr">
        <is>
          <t>NPV of 5-year FCF @ discount rate</t>
        </is>
      </c>
      <c r="C11" s="29">
        <f>SUM(C9:G9)</f>
        <v/>
      </c>
    </row>
    <row r="12">
      <c r="A12" s="17" t="inlineStr">
        <is>
          <t>Terminal value (Y5 FCF × 5, discounted)</t>
        </is>
      </c>
      <c r="C12" s="29">
        <f>G6*5*G8</f>
        <v/>
      </c>
      <c r="H12" s="2" t="inlineStr">
        <is>
          <t>Exit multiple of 5× FCF — conservative for logistics-tech</t>
        </is>
      </c>
    </row>
    <row r="13">
      <c r="A13" s="17" t="inlineStr">
        <is>
          <t>Enterprise value (NPV + terminal)</t>
        </is>
      </c>
      <c r="C13" s="29">
        <f>C11+C12</f>
        <v/>
      </c>
    </row>
    <row r="14">
      <c r="A14" s="17" t="inlineStr">
        <is>
          <t>IRR (5-year FCF + terminal value)</t>
        </is>
      </c>
      <c r="C14" s="30">
        <f>IRR(C10:G10)</f>
        <v/>
      </c>
    </row>
    <row r="15">
      <c r="A15" s="17" t="inlineStr">
        <is>
          <t>Payback year (cumulative FCF turns positive)</t>
        </is>
      </c>
      <c r="C15" s="31">
        <f>IF(C7&gt;0,C4,IF(D7&gt;0,D4,IF(E7&gt;0,E4,IF(F7&gt;0,F4,IF(G7&gt;0,G4,"Beyond Y5")))))</f>
        <v/>
      </c>
    </row>
    <row r="17">
      <c r="A17" s="5" t="inlineStr">
        <is>
          <t>Break-even analysis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17" t="inlineStr">
        <is>
          <t>Contribution per delivery (avg fee − variable cost)</t>
        </is>
      </c>
      <c r="B18" s="8" t="inlineStr">
        <is>
          <t>₹</t>
        </is>
      </c>
      <c r="C18" s="32">
        <f>Revenue!C17-'Costs &amp; Capex'!C6</f>
        <v/>
      </c>
      <c r="D18" s="32">
        <f>Revenue!D17-'Costs &amp; Capex'!D6</f>
        <v/>
      </c>
      <c r="E18" s="32">
        <f>Revenue!E17-'Costs &amp; Capex'!E6</f>
        <v/>
      </c>
      <c r="F18" s="32">
        <f>Revenue!F17-'Costs &amp; Capex'!F6</f>
        <v/>
      </c>
      <c r="G18" s="32">
        <f>Revenue!G17-'Costs &amp; Capex'!G6</f>
        <v/>
      </c>
    </row>
    <row r="19">
      <c r="A19" s="7" t="inlineStr">
        <is>
          <t>Fixed costs + depreciation − contract revenue</t>
        </is>
      </c>
      <c r="B19" s="8" t="inlineStr">
        <is>
          <t>₹ lakh</t>
        </is>
      </c>
      <c r="C19" s="20">
        <f>'Costs &amp; Capex'!C16+'Costs &amp; Capex'!C24-Revenue!C13-Revenue!C14</f>
        <v/>
      </c>
      <c r="D19" s="20">
        <f>'Costs &amp; Capex'!D16+'Costs &amp; Capex'!D24-Revenue!D13-Revenue!D14</f>
        <v/>
      </c>
      <c r="E19" s="20">
        <f>'Costs &amp; Capex'!E16+'Costs &amp; Capex'!E24-Revenue!E13-Revenue!E14</f>
        <v/>
      </c>
      <c r="F19" s="20">
        <f>'Costs &amp; Capex'!F16+'Costs &amp; Capex'!F24-Revenue!F13-Revenue!F14</f>
        <v/>
      </c>
      <c r="G19" s="20">
        <f>'Costs &amp; Capex'!G16+'Costs &amp; Capex'!G24-Revenue!G13-Revenue!G14</f>
        <v/>
      </c>
    </row>
    <row r="20">
      <c r="A20" s="17" t="inlineStr">
        <is>
          <t>Break-even deliveries per year</t>
        </is>
      </c>
      <c r="B20" s="8" t="inlineStr">
        <is>
          <t>nos</t>
        </is>
      </c>
      <c r="C20" s="18">
        <f>IF(C18&lt;=0,0,C19*100000/C18)</f>
        <v/>
      </c>
      <c r="D20" s="18">
        <f>IF(D18&lt;=0,0,D19*100000/D18)</f>
        <v/>
      </c>
      <c r="E20" s="18">
        <f>IF(E18&lt;=0,0,E19*100000/E18)</f>
        <v/>
      </c>
      <c r="F20" s="18">
        <f>IF(F18&lt;=0,0,F19*100000/F18)</f>
        <v/>
      </c>
      <c r="G20" s="18">
        <f>IF(G18&lt;=0,0,G19*100000/G18)</f>
        <v/>
      </c>
    </row>
    <row r="21">
      <c r="A21" s="7" t="inlineStr">
        <is>
          <t>Actual deliveries</t>
        </is>
      </c>
      <c r="B21" s="8" t="inlineStr">
        <is>
          <t>nos</t>
        </is>
      </c>
      <c r="C21" s="16">
        <f>Revenue!C7</f>
        <v/>
      </c>
      <c r="D21" s="16">
        <f>Revenue!D7</f>
        <v/>
      </c>
      <c r="E21" s="16">
        <f>Revenue!E7</f>
        <v/>
      </c>
      <c r="F21" s="16">
        <f>Revenue!F7</f>
        <v/>
      </c>
      <c r="G21" s="16">
        <f>Revenue!G7</f>
        <v/>
      </c>
    </row>
    <row r="22">
      <c r="A22" s="7" t="inlineStr">
        <is>
          <t>Margin of safety</t>
        </is>
      </c>
      <c r="B22" s="8" t="inlineStr">
        <is>
          <t>%</t>
        </is>
      </c>
      <c r="C22" s="22">
        <f>IF(C21=0,0,(C21-C20)/C21)</f>
        <v/>
      </c>
      <c r="D22" s="22">
        <f>IF(D21=0,0,(D21-D20)/D21)</f>
        <v/>
      </c>
      <c r="E22" s="22">
        <f>IF(E21=0,0,(E21-E20)/E21)</f>
        <v/>
      </c>
      <c r="F22" s="22">
        <f>IF(F21=0,0,(F21-F20)/F21)</f>
        <v/>
      </c>
      <c r="G22" s="22">
        <f>IF(G21=0,0,(G21-G20)/G21)</f>
        <v/>
      </c>
      <c r="H22" s="2" t="inlineStr">
        <is>
          <t>Negative = below break-even that year</t>
        </is>
      </c>
    </row>
    <row r="24">
      <c r="A24" s="5" t="inlineStr">
        <is>
          <t>Unit economics vs road transport (per emergency delivery)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7" t="inlineStr">
        <is>
          <t>Fully loaded cost per delivery</t>
        </is>
      </c>
      <c r="B25" s="8" t="inlineStr">
        <is>
          <t>₹</t>
        </is>
      </c>
      <c r="C25" s="23">
        <f>('P&amp;L'!C6+'P&amp;L'!C9+'P&amp;L'!C12)*100000/Revenue!C7</f>
        <v/>
      </c>
      <c r="D25" s="23">
        <f>('P&amp;L'!D6+'P&amp;L'!D9+'P&amp;L'!D12)*100000/Revenue!D7</f>
        <v/>
      </c>
      <c r="E25" s="23">
        <f>('P&amp;L'!E6+'P&amp;L'!E9+'P&amp;L'!E12)*100000/Revenue!E7</f>
        <v/>
      </c>
      <c r="F25" s="23">
        <f>('P&amp;L'!F6+'P&amp;L'!F9+'P&amp;L'!F12)*100000/Revenue!F7</f>
        <v/>
      </c>
      <c r="G25" s="23">
        <f>('P&amp;L'!G6+'P&amp;L'!G9+'P&amp;L'!G12)*100000/Revenue!G7</f>
        <v/>
      </c>
      <c r="H25" s="2" t="inlineStr">
        <is>
          <t>All costs incl. depreciation ÷ deliveries; falls as fleet utilisation rises</t>
        </is>
      </c>
    </row>
    <row r="26">
      <c r="A26" s="7" t="inlineStr">
        <is>
          <t>Road round trip cost (benchmark)</t>
        </is>
      </c>
      <c r="B26" s="8" t="inlineStr">
        <is>
          <t>₹</t>
        </is>
      </c>
      <c r="C26" s="13" t="n">
        <v>2902</v>
      </c>
      <c r="D26" s="13" t="n">
        <v>2902</v>
      </c>
      <c r="E26" s="13" t="n">
        <v>2902</v>
      </c>
      <c r="F26" s="13" t="n">
        <v>2902</v>
      </c>
      <c r="G26" s="13" t="n">
        <v>2902</v>
      </c>
      <c r="H26" s="2" t="inlineStr">
        <is>
          <t>Gupta et al., J Family Med Prim Care 2025 (Meghalaya hub–PHC, 49 km)</t>
        </is>
      </c>
    </row>
    <row r="27">
      <c r="A27" s="7" t="inlineStr">
        <is>
          <t>Road round trip time (benchmark)</t>
        </is>
      </c>
      <c r="B27" s="8" t="inlineStr">
        <is>
          <t>min</t>
        </is>
      </c>
      <c r="C27" s="10" t="n">
        <v>240</v>
      </c>
      <c r="D27" s="10" t="n">
        <v>240</v>
      </c>
      <c r="E27" s="10" t="n">
        <v>240</v>
      </c>
      <c r="F27" s="10" t="n">
        <v>240</v>
      </c>
      <c r="G27" s="10" t="n">
        <v>240</v>
      </c>
      <c r="H27" s="2" t="inlineStr">
        <is>
          <t>Same study</t>
        </is>
      </c>
    </row>
    <row r="28">
      <c r="A28" s="7" t="inlineStr">
        <is>
          <t>Drone round trip time (benchmark)</t>
        </is>
      </c>
      <c r="B28" s="8" t="inlineStr">
        <is>
          <t>min</t>
        </is>
      </c>
      <c r="C28" s="10" t="n">
        <v>50</v>
      </c>
      <c r="D28" s="10" t="n">
        <v>50</v>
      </c>
      <c r="E28" s="10" t="n">
        <v>50</v>
      </c>
      <c r="F28" s="10" t="n">
        <v>50</v>
      </c>
      <c r="G28" s="10" t="n">
        <v>50</v>
      </c>
      <c r="H28" s="2" t="inlineStr">
        <is>
          <t>Same study</t>
        </is>
      </c>
    </row>
    <row r="29">
      <c r="A29" s="17" t="inlineStr">
        <is>
          <t>Time saved per delivery</t>
        </is>
      </c>
      <c r="B29" s="8" t="inlineStr">
        <is>
          <t>min</t>
        </is>
      </c>
      <c r="C29" s="18">
        <f>C27-C28</f>
        <v/>
      </c>
      <c r="D29" s="18">
        <f>D27-D28</f>
        <v/>
      </c>
      <c r="E29" s="18">
        <f>E27-E28</f>
        <v/>
      </c>
      <c r="F29" s="18">
        <f>F27-F28</f>
        <v/>
      </c>
      <c r="G29" s="18">
        <f>G27-G28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Pro Forma Balance Sheet (end of year)</t>
        </is>
      </c>
    </row>
    <row r="2">
      <c r="A2" s="2" t="inlineStr">
        <is>
          <t>₹ lakh</t>
        </is>
      </c>
    </row>
    <row r="4">
      <c r="A4" s="3" t="inlineStr">
        <is>
          <t>Particulars</t>
        </is>
      </c>
      <c r="B4" s="4" t="inlineStr">
        <is>
          <t>Unit</t>
        </is>
      </c>
      <c r="C4" s="4" t="inlineStr">
        <is>
          <t>Y1 FY27-28</t>
        </is>
      </c>
      <c r="D4" s="4" t="inlineStr">
        <is>
          <t>Y2 FY28-29</t>
        </is>
      </c>
      <c r="E4" s="4" t="inlineStr">
        <is>
          <t>Y3 FY29-30</t>
        </is>
      </c>
      <c r="F4" s="4" t="inlineStr">
        <is>
          <t>Y4 FY30-31</t>
        </is>
      </c>
      <c r="G4" s="4" t="inlineStr">
        <is>
          <t>Y5 FY31-32</t>
        </is>
      </c>
      <c r="H4" s="4" t="inlineStr">
        <is>
          <t>Source / Note</t>
        </is>
      </c>
    </row>
    <row r="5">
      <c r="A5" s="5" t="inlineStr">
        <is>
          <t>Assets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7" t="inlineStr">
        <is>
          <t>Cash &amp; bank</t>
        </is>
      </c>
      <c r="B6" s="8" t="inlineStr">
        <is>
          <t>₹ lakh</t>
        </is>
      </c>
      <c r="C6" s="25">
        <f>'Cash Flow'!C13</f>
        <v/>
      </c>
      <c r="D6" s="25">
        <f>'Cash Flow'!D13</f>
        <v/>
      </c>
      <c r="E6" s="25">
        <f>'Cash Flow'!E13</f>
        <v/>
      </c>
      <c r="F6" s="25">
        <f>'Cash Flow'!F13</f>
        <v/>
      </c>
      <c r="G6" s="25">
        <f>'Cash Flow'!G13</f>
        <v/>
      </c>
    </row>
    <row r="7">
      <c r="A7" s="7" t="inlineStr">
        <is>
          <t>Gross fixed assets (drones, hubs, platform)</t>
        </is>
      </c>
      <c r="B7" s="8" t="inlineStr">
        <is>
          <t>₹ lakh</t>
        </is>
      </c>
      <c r="C7" s="25">
        <f>SUM('Costs &amp; Capex'!$C$23:C23)</f>
        <v/>
      </c>
      <c r="D7" s="25">
        <f>SUM('Costs &amp; Capex'!$C$23:D23)</f>
        <v/>
      </c>
      <c r="E7" s="25">
        <f>SUM('Costs &amp; Capex'!$C$23:E23)</f>
        <v/>
      </c>
      <c r="F7" s="25">
        <f>SUM('Costs &amp; Capex'!$C$23:F23)</f>
        <v/>
      </c>
      <c r="G7" s="25">
        <f>SUM('Costs &amp; Capex'!$C$23:G23)</f>
        <v/>
      </c>
    </row>
    <row r="8">
      <c r="A8" s="7" t="inlineStr">
        <is>
          <t>Less: accumulated depreciation</t>
        </is>
      </c>
      <c r="B8" s="8" t="inlineStr">
        <is>
          <t>₹ lakh</t>
        </is>
      </c>
      <c r="C8" s="25">
        <f>SUM('Costs &amp; Capex'!$C$24:C24)</f>
        <v/>
      </c>
      <c r="D8" s="25">
        <f>SUM('Costs &amp; Capex'!$C$24:D24)</f>
        <v/>
      </c>
      <c r="E8" s="25">
        <f>SUM('Costs &amp; Capex'!$C$24:E24)</f>
        <v/>
      </c>
      <c r="F8" s="25">
        <f>SUM('Costs &amp; Capex'!$C$24:F24)</f>
        <v/>
      </c>
      <c r="G8" s="25">
        <f>SUM('Costs &amp; Capex'!$C$24:G24)</f>
        <v/>
      </c>
    </row>
    <row r="9">
      <c r="A9" s="7" t="inlineStr">
        <is>
          <t>Net fixed assets</t>
        </is>
      </c>
      <c r="B9" s="8" t="inlineStr">
        <is>
          <t>₹ lakh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</row>
    <row r="10">
      <c r="A10" s="17" t="inlineStr">
        <is>
          <t>Total assets</t>
        </is>
      </c>
      <c r="B10" s="8" t="inlineStr">
        <is>
          <t>₹ lakh</t>
        </is>
      </c>
      <c r="C10" s="21">
        <f>C6+C9</f>
        <v/>
      </c>
      <c r="D10" s="21">
        <f>D6+D9</f>
        <v/>
      </c>
      <c r="E10" s="21">
        <f>E6+E9</f>
        <v/>
      </c>
      <c r="F10" s="21">
        <f>F6+F9</f>
        <v/>
      </c>
      <c r="G10" s="21">
        <f>G6+G9</f>
        <v/>
      </c>
    </row>
    <row r="11">
      <c r="A11" s="5" t="inlineStr">
        <is>
          <t>Equity &amp; liabilities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Share capital (founders + investors)</t>
        </is>
      </c>
      <c r="B12" s="8" t="inlineStr">
        <is>
          <t>₹ lakh</t>
        </is>
      </c>
      <c r="C12" s="25">
        <f>SUM(Assumptions!$C$44:C44)+SUM(Assumptions!$C$46:C46)</f>
        <v/>
      </c>
      <c r="D12" s="25">
        <f>SUM(Assumptions!$C$44:D44)+SUM(Assumptions!$C$46:D46)</f>
        <v/>
      </c>
      <c r="E12" s="25">
        <f>SUM(Assumptions!$C$44:E44)+SUM(Assumptions!$C$46:E46)</f>
        <v/>
      </c>
      <c r="F12" s="25">
        <f>SUM(Assumptions!$C$44:F44)+SUM(Assumptions!$C$46:F46)</f>
        <v/>
      </c>
      <c r="G12" s="25">
        <f>SUM(Assumptions!$C$44:G44)+SUM(Assumptions!$C$46:G46)</f>
        <v/>
      </c>
    </row>
    <row r="13">
      <c r="A13" s="7" t="inlineStr">
        <is>
          <t>Capital reserve (SISFS grant)</t>
        </is>
      </c>
      <c r="B13" s="8" t="inlineStr">
        <is>
          <t>₹ lakh</t>
        </is>
      </c>
      <c r="C13" s="25">
        <f>SUM(Assumptions!$C$45:C45)</f>
        <v/>
      </c>
      <c r="D13" s="25">
        <f>SUM(Assumptions!$C$45:D45)</f>
        <v/>
      </c>
      <c r="E13" s="25">
        <f>SUM(Assumptions!$C$45:E45)</f>
        <v/>
      </c>
      <c r="F13" s="25">
        <f>SUM(Assumptions!$C$45:F45)</f>
        <v/>
      </c>
      <c r="G13" s="25">
        <f>SUM(Assumptions!$C$45:G45)</f>
        <v/>
      </c>
    </row>
    <row r="14">
      <c r="A14" s="7" t="inlineStr">
        <is>
          <t>Retained earnings / (accumulated losses)</t>
        </is>
      </c>
      <c r="B14" s="8" t="inlineStr">
        <is>
          <t>₹ lakh</t>
        </is>
      </c>
      <c r="C14" s="25">
        <f>SUM('P&amp;L'!$C$16:C16)</f>
        <v/>
      </c>
      <c r="D14" s="25">
        <f>SUM('P&amp;L'!$C$16:D16)</f>
        <v/>
      </c>
      <c r="E14" s="25">
        <f>SUM('P&amp;L'!$C$16:E16)</f>
        <v/>
      </c>
      <c r="F14" s="25">
        <f>SUM('P&amp;L'!$C$16:F16)</f>
        <v/>
      </c>
      <c r="G14" s="25">
        <f>SUM('P&amp;L'!$C$16:G16)</f>
        <v/>
      </c>
    </row>
    <row r="15">
      <c r="A15" s="17" t="inlineStr">
        <is>
          <t>Total equity &amp; liabilities</t>
        </is>
      </c>
      <c r="B15" s="8" t="inlineStr">
        <is>
          <t>₹ lakh</t>
        </is>
      </c>
      <c r="C15" s="21">
        <f>SUM(C12:C14)</f>
        <v/>
      </c>
      <c r="D15" s="21">
        <f>SUM(D12:D14)</f>
        <v/>
      </c>
      <c r="E15" s="21">
        <f>SUM(E12:E14)</f>
        <v/>
      </c>
      <c r="F15" s="21">
        <f>SUM(F12:F14)</f>
        <v/>
      </c>
      <c r="G15" s="21">
        <f>SUM(G12:G14)</f>
        <v/>
      </c>
    </row>
    <row r="16">
      <c r="A16" s="7" t="inlineStr">
        <is>
          <t>Balance check</t>
        </is>
      </c>
      <c r="B16" s="8" t="inlineStr"/>
      <c r="C16" s="27">
        <f>IF(ABS(C10-C15)&lt;0.01,"BALANCED","ERROR")</f>
        <v/>
      </c>
      <c r="D16" s="27">
        <f>IF(ABS(D10-D15)&lt;0.01,"BALANCED","ERROR")</f>
        <v/>
      </c>
      <c r="E16" s="27">
        <f>IF(ABS(E10-E15)&lt;0.01,"BALANCED","ERROR")</f>
        <v/>
      </c>
      <c r="F16" s="27">
        <f>IF(ABS(F10-F15)&lt;0.01,"BALANCED","ERROR")</f>
        <v/>
      </c>
      <c r="G16" s="27">
        <f>IF(ABS(G10-G15)&lt;0.01,"BALANCED","ERROR")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Sources and Applications of Funds (Launch phase: Y1 + Y2)</t>
        </is>
      </c>
    </row>
    <row r="2">
      <c r="A2" s="2" t="inlineStr">
        <is>
          <t>₹ lakh</t>
        </is>
      </c>
    </row>
    <row r="4">
      <c r="A4" s="33" t="inlineStr">
        <is>
          <t>Item</t>
        </is>
      </c>
      <c r="B4" s="33" t="inlineStr">
        <is>
          <t>₹ lakh</t>
        </is>
      </c>
      <c r="C4" s="33" t="inlineStr">
        <is>
          <t>Share</t>
        </is>
      </c>
    </row>
    <row r="5">
      <c r="A5" s="5" t="inlineStr">
        <is>
          <t>Sources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7" t="inlineStr">
        <is>
          <t>Founders' capital</t>
        </is>
      </c>
      <c r="B6" s="34">
        <f>SUM(Assumptions!C44:D44)</f>
        <v/>
      </c>
      <c r="C6" s="35">
        <f>B6/$B$10</f>
        <v/>
      </c>
    </row>
    <row r="7">
      <c r="A7" s="7" t="inlineStr">
        <is>
          <t>Startup India Seed Fund grant</t>
        </is>
      </c>
      <c r="B7" s="34">
        <f>SUM(Assumptions!C45:D45)</f>
        <v/>
      </c>
      <c r="C7" s="35">
        <f>B7/$B$10</f>
        <v/>
      </c>
    </row>
    <row r="8">
      <c r="A8" s="7" t="inlineStr">
        <is>
          <t>Seed round (Y1)</t>
        </is>
      </c>
      <c r="B8" s="34">
        <f>Assumptions!C46</f>
        <v/>
      </c>
      <c r="C8" s="35">
        <f>B8/$B$10</f>
        <v/>
      </c>
    </row>
    <row r="9">
      <c r="A9" s="7" t="inlineStr">
        <is>
          <t>Pre-Series A round (Y2)</t>
        </is>
      </c>
      <c r="B9" s="34">
        <f>Assumptions!D46</f>
        <v/>
      </c>
      <c r="C9" s="35">
        <f>B9/$B$10</f>
        <v/>
      </c>
    </row>
    <row r="10">
      <c r="A10" s="17" t="inlineStr">
        <is>
          <t>Total sources</t>
        </is>
      </c>
      <c r="B10" s="36">
        <f>SUM(B6:B9)</f>
        <v/>
      </c>
    </row>
    <row r="11">
      <c r="A11" s="5" t="inlineStr">
        <is>
          <t>Applications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Drones (fleet of 24)</t>
        </is>
      </c>
      <c r="B12" s="34">
        <f>SUM('Costs &amp; Capex'!C20:D20)</f>
        <v/>
      </c>
      <c r="C12" s="35">
        <f>B12/$B$17</f>
        <v/>
      </c>
    </row>
    <row r="13">
      <c r="A13" s="7" t="inlineStr">
        <is>
          <t>Hub setup (4 hubs)</t>
        </is>
      </c>
      <c r="B13" s="34">
        <f>SUM('Costs &amp; Capex'!C21:D21)</f>
        <v/>
      </c>
      <c r="C13" s="35">
        <f>B13/$B$17</f>
        <v/>
      </c>
    </row>
    <row r="14">
      <c r="A14" s="7" t="inlineStr">
        <is>
          <t>Technology platform</t>
        </is>
      </c>
      <c r="B14" s="34">
        <f>SUM('Costs &amp; Capex'!C22:D22)</f>
        <v/>
      </c>
      <c r="C14" s="35">
        <f>B14/$B$17</f>
        <v/>
      </c>
    </row>
    <row r="15">
      <c r="A15" s="7" t="inlineStr">
        <is>
          <t>Less: net operating cash generated (Y1 loss, Y2 profit)</t>
        </is>
      </c>
      <c r="B15" s="34">
        <f>-SUM('P&amp;L'!C10:D10)</f>
        <v/>
      </c>
      <c r="C15" s="35">
        <f>B15/$B$17</f>
        <v/>
      </c>
    </row>
    <row r="16">
      <c r="A16" s="7" t="inlineStr">
        <is>
          <t>Reserve for Y3 expansion to 7 hubs</t>
        </is>
      </c>
      <c r="B16" s="34">
        <f>'Cash Flow'!D13</f>
        <v/>
      </c>
      <c r="C16" s="35">
        <f>B16/$B$17</f>
        <v/>
      </c>
    </row>
    <row r="17">
      <c r="A17" s="17" t="inlineStr">
        <is>
          <t>Total applications</t>
        </is>
      </c>
      <c r="B17" s="36">
        <f>SUM(B12:B16)</f>
        <v/>
      </c>
    </row>
    <row r="18">
      <c r="A18" s="17" t="inlineStr">
        <is>
          <t>Check (sources = applications)</t>
        </is>
      </c>
      <c r="B18" s="36">
        <f>IF(ABS(B10-B17)&lt;0.01,"OK","ERROR")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Sources used for assumptions</t>
        </is>
      </c>
    </row>
    <row r="3">
      <c r="A3" s="37" t="inlineStr">
        <is>
          <t>1. Gupta P, Bhatia R, Choudhury RK, Kotwal A. Leveraging drone technology in health systems strengthening: a cost-effectiveness analysis from Northeast India. J Family Med Prim Care 2025;14(11):4712-21. https://pmc.ncbi.nlm.nih.gov/articles/PMC12704948/</t>
        </is>
      </c>
    </row>
    <row r="4">
      <c r="A4" s="37" t="inlineStr">
        <is>
          <t>2. Nisingizwe MP et al. Effect of unmanned aerial vehicle (drone) delivery on blood product delivery time and wastage in Rwanda. Lancet Glob Health 2022. doi:10.1016/S2214-109X(22)00048-1</t>
        </is>
      </c>
    </row>
    <row r="5">
      <c r="A5" s="37" t="inlineStr">
        <is>
          <t>3. ICMR i-Drone programme (vaccine, blood and tissue delivery trials incl. Karnataka 2023-24). https://idrone.icmr.org.in/</t>
        </is>
      </c>
    </row>
    <row r="6">
      <c r="A6" s="37" t="inlineStr">
        <is>
          <t>4. Ministry of Civil Aviation, Drone Rules 2021 (green zone, UIN, Remote Pilot Certificate, insurance). https://digitalsky.dgca.gov.in/</t>
        </is>
      </c>
    </row>
    <row r="7">
      <c r="A7" s="37" t="inlineStr">
        <is>
          <t>5. PLI scheme for drones and drone components, notified 30 Sep 2021, outlay ₹120 crore.</t>
        </is>
      </c>
    </row>
    <row r="8">
      <c r="A8" s="37" t="inlineStr">
        <is>
          <t>6. CAG performance audit of 108 Arogya Kavacha ambulance service, Karnataka (30-min rural target met in 72% of cases).</t>
        </is>
      </c>
    </row>
    <row r="9">
      <c r="A9" s="37" t="inlineStr">
        <is>
          <t>7. Karnataka snakebite data 2024: 13,235 cases, 100 deaths (Deccan Herald, 2025).</t>
        </is>
      </c>
    </row>
    <row r="10">
      <c r="A10" s="37" t="inlineStr">
        <is>
          <t>8. Airbound seed round US$8.65M and Narayana Health contract (TechCrunch / DroneLife, Oct 2025); US$37M raise (TechCrunch, Aug 2026).</t>
        </is>
      </c>
    </row>
    <row r="11">
      <c r="A11" s="37" t="inlineStr">
        <is>
          <t>9. MarketsandMarkets: India drone market USD 0.47 bn (2025) → USD 1.39 bn (2030), CAGR 24.4%.</t>
        </is>
      </c>
    </row>
    <row r="12">
      <c r="A12" s="37" t="inlineStr">
        <is>
          <t>10. Grand View Research: India delivery drones market USD 22.9 mn (2023) → USD 397.8 mn (2030), CAGR 50.4%.</t>
        </is>
      </c>
    </row>
    <row r="13">
      <c r="A13" s="37" t="inlineStr">
        <is>
          <t>11. Mordor Intelligence: global medical drones USD 0.43 bn (2025) → USD 1.18 bn (2030), CAGR 22.19%.</t>
        </is>
      </c>
    </row>
    <row r="14">
      <c r="A14" s="37" t="inlineStr">
        <is>
          <t>12. TradeIndia vendor listings: 5 kg payload drone ₹3.6 lakh; 5 kg VTOL fixed-wing ₹18 lakh.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2026-10-13T11:17:58Z</dcterms:created>
  <dcterms:modified xmlns:dcterms="http://purl.org/dc/terms/" xmlns:xsi="http://www.w3.org/2001/XMLSchema-instance" xsi:type="dcterms:W3CDTF">2026-10-13T11:17:58Z</dcterms:modified>
</cp:coreProperties>
</file>